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c3186097b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7507fc6850e14dd3"/>
    <x:sheet xmlns:r="http://schemas.openxmlformats.org/officeDocument/2006/relationships" name="Test Cases" sheetId="2" r:id="Ra272ee07eb64457e"/>
    <x:sheet xmlns:r="http://schemas.openxmlformats.org/officeDocument/2006/relationships" name="Coverage" sheetId="3" r:id="R26111ab75ab04f74"/>
    <x:sheet xmlns:r="http://schemas.openxmlformats.org/officeDocument/2006/relationships" name="Test Data" sheetId="4" r:id="Ra48b5ca1045a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12">
    <x:font>
      <x:sz val="11"/>
      <x:name val="Carlito"/>
    </x:font>
    <x:font>
      <x:b/>
      <x:sz val="20"/>
      <x:color rgb="FF2F4353"/>
      <x:name val="Aptos"/>
    </x:font>
    <x:font>
      <x:i/>
      <x:sz val="10"/>
      <x:color rgb="FF6F8290"/>
      <x:name val="Aptos"/>
    </x:font>
    <x:font>
      <x:b/>
      <x:sz val="11"/>
      <x:color rgb="FF2F4353"/>
      <x:name val="Carlito"/>
    </x:font>
    <x:font>
      <x:sz val="11"/>
      <x:color rgb="FF2F4353"/>
      <x:name val="Carlito"/>
    </x:font>
    <x:font>
      <x:b/>
      <x:sz val="12"/>
      <x:color rgb="FF2F4353"/>
      <x:name val="Aptos"/>
    </x:font>
    <x:font>
      <x:b/>
      <x:sz val="10"/>
      <x:color rgb="FFFFFFFF"/>
      <x:name val="Aptos"/>
    </x:font>
    <x:font>
      <x:b/>
      <x:sz val="10"/>
      <x:color rgb="FF2F4353"/>
      <x:name val="Aptos"/>
    </x:font>
    <x:font>
      <x:sz val="10"/>
      <x:color rgb="FF2F4353"/>
      <x:name val="Aptos"/>
    </x:font>
    <x:font>
      <x:i/>
      <x:sz val="11"/>
      <x:color rgb="FF6F8290"/>
      <x:name val="Carlito"/>
    </x:font>
    <x:font>
      <x:sz val="9"/>
      <x:color rgb="FF2F4353"/>
      <x:name val="Aptos"/>
    </x:font>
    <x:font>
      <x:sz val="11"/>
      <x:color rgb="FF2F4353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8C5D0"/>
      </x:patternFill>
    </x:fill>
    <x:fill>
      <x:patternFill patternType="solid">
        <x:fgColor rgb="FFFEFBEA"/>
      </x:patternFill>
    </x:fill>
    <x:fill>
      <x:patternFill patternType="solid">
        <x:fgColor rgb="FFBFE3F3"/>
      </x:patternFill>
    </x:fill>
    <x:fill>
      <x:patternFill patternType="solid">
        <x:fgColor rgb="FFFFFFFF"/>
      </x:patternFill>
    </x:fill>
    <x:fill>
      <x:patternFill patternType="solid">
        <x:fgColor rgb="FF345268"/>
      </x:patternFill>
    </x:fill>
    <x:fill>
      <x:patternFill patternType="solid">
        <x:fgColor rgb="FFCBE8A9"/>
      </x:patternFill>
    </x:fill>
    <x:fill>
      <x:patternFill patternType="solid">
        <x:fgColor rgb="FFFFE6A3"/>
      </x:patternFill>
    </x:fill>
    <x:fill>
      <x:patternFill patternType="solid">
        <x:fgColor rgb="FFD9C2EF"/>
      </x:patternFill>
    </x:fill>
    <x:fill>
      <x:patternFill patternType="solid">
        <x:fgColor rgb="FFF8C3A8"/>
      </x:patternFill>
    </x:fill>
    <x:fill>
      <x:patternFill patternType="solid">
        <x:fgColor rgb="FFF8FBFD"/>
      </x:patternFill>
    </x:fill>
    <x:fill>
      <x:patternFill patternType="solid">
        <x:fgColor rgb="FFFFFDF4"/>
      </x:patternFill>
    </x:fill>
  </x:fills>
  <x:borders count="17">
    <x:border/>
    <x:border>
      <x:left style="medium">
        <x:color rgb="FFE89AB5"/>
      </x:left>
      <x:top style="medium">
        <x:color rgb="FFE89AB5"/>
      </x:top>
      <x:bottom style="medium">
        <x:color rgb="FFE89AB5"/>
      </x:bottom>
    </x:border>
    <x:border>
      <x:top style="medium">
        <x:color rgb="FFE89AB5"/>
      </x:top>
      <x:bottom style="medium">
        <x:color rgb="FFE89AB5"/>
      </x:bottom>
    </x:border>
    <x:border>
      <x:right style="medium">
        <x:color rgb="FFE89AB5"/>
      </x:right>
      <x:top style="medium">
        <x:color rgb="FFE89AB5"/>
      </x:top>
      <x:bottom style="medium">
        <x:color rgb="FFE89AB5"/>
      </x:bottom>
    </x:border>
    <x:border>
      <x:left style="thin">
        <x:color rgb="FFD7DEE3"/>
      </x:left>
      <x:top style="thin">
        <x:color rgb="FFD7DEE3"/>
      </x:top>
    </x:border>
    <x:border>
      <x:top style="thin">
        <x:color rgb="FFD7DEE3"/>
      </x:top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</x:border>
    <x:border>
      <x:right style="thin">
        <x:color rgb="FFD7DEE3"/>
      </x:right>
    </x:border>
    <x:border>
      <x:left style="thin">
        <x:color rgb="FFD7DEE3"/>
      </x:left>
      <x:bottom style="thin">
        <x:color rgb="FFD7DEE3"/>
      </x:bottom>
    </x:border>
    <x:border>
      <x:bottom style="thin">
        <x:color rgb="FFD7DEE3"/>
      </x:bottom>
    </x:border>
    <x:border>
      <x:right style="thin">
        <x:color rgb="FFD7DEE3"/>
      </x:right>
      <x:bottom style="thin">
        <x:color rgb="FFD7DEE3"/>
      </x:bottom>
    </x:border>
    <x:border>
      <x:bottom style="medium">
        <x:color rgb="FF79BFE2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horizontal="left" vertical="top" wrapText="1"/>
    </x:xf>
    <x:xf numFmtId="0" fontId="4" fillId="5" borderId="6" xfId="0" applyNumberFormat="1" applyFont="1" applyFill="1" applyBorder="1" applyAlignment="1">
      <x:alignment horizontal="left"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left" vertical="top" wrapText="1"/>
    </x:xf>
    <x:xf numFmtId="0" fontId="4" fillId="5" borderId="11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/>
    <x:xf numFmtId="0" fontId="5" fillId="4" borderId="12" xfId="0" applyNumberFormat="1" applyFont="1" applyFill="1" applyBorder="1"/>
    <x:xf numFmtId="0" fontId="5" fillId="4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3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2" xfId="0" applyNumberFormat="1" applyFont="1" applyFill="1" applyBorder="1"/>
    <x:xf numFmtId="0" fontId="5" fillId="9" borderId="1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2" xfId="0" applyNumberFormat="1" applyFont="1" applyFill="1" applyBorder="1"/>
    <x:xf numFmtId="0" fontId="5" fillId="10" borderId="12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7" borderId="12" xfId="0" applyNumberFormat="1" applyFont="1" applyFill="1" applyBorder="1" applyAlignment="1">
      <x:alignment vertical="center"/>
    </x:xf>
    <x:xf numFmtId="0" fontId="7" fillId="8" borderId="12" xfId="0" applyNumberFormat="1" applyFont="1" applyFill="1" applyBorder="1" applyAlignment="1">
      <x:alignment vertical="center"/>
    </x:xf>
    <x:xf numFmtId="0" fontId="7" fillId="9" borderId="12" xfId="0" applyNumberFormat="1" applyFont="1" applyFill="1" applyBorder="1" applyAlignment="1">
      <x:alignment vertical="center"/>
    </x:xf>
    <x:xf numFmtId="0" fontId="7" fillId="10" borderId="12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7" fillId="7" borderId="14" xfId="0" applyNumberFormat="1" applyFont="1" applyFill="1" applyBorder="1" applyAlignment="1">
      <x:alignment vertical="center"/>
    </x:xf>
    <x:xf numFmtId="0" fontId="7" fillId="7" borderId="15" xfId="0" applyNumberFormat="1" applyFont="1" applyFill="1" applyBorder="1" applyAlignment="1">
      <x:alignment vertical="center"/>
    </x:xf>
    <x:xf numFmtId="0" fontId="7" fillId="7" borderId="16" xfId="0" applyNumberFormat="1" applyFont="1" applyFill="1" applyBorder="1" applyAlignment="1">
      <x:alignment vertical="center"/>
    </x:xf>
    <x:xf numFmtId="0" fontId="7" fillId="8" borderId="14" xfId="0" applyNumberFormat="1" applyFont="1" applyFill="1" applyBorder="1" applyAlignment="1">
      <x:alignment vertical="center"/>
    </x:xf>
    <x:xf numFmtId="0" fontId="7" fillId="8" borderId="15" xfId="0" applyNumberFormat="1" applyFont="1" applyFill="1" applyBorder="1" applyAlignment="1">
      <x:alignment vertical="center"/>
    </x:xf>
    <x:xf numFmtId="0" fontId="7" fillId="8" borderId="16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5" xfId="0" applyNumberFormat="1" applyFont="1" applyFill="1" applyBorder="1" applyAlignment="1">
      <x:alignment vertical="center"/>
    </x:xf>
    <x:xf numFmtId="0" fontId="7" fillId="9" borderId="16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5" xfId="0" applyNumberFormat="1" applyFont="1" applyFill="1" applyBorder="1" applyAlignment="1">
      <x:alignment vertical="center"/>
    </x:xf>
    <x:xf numFmtId="0" fontId="7" fillId="10" borderId="16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10" borderId="14" xfId="0" applyNumberFormat="1" applyFont="1" applyFill="1" applyBorder="1" applyAlignment="1">
      <x:alignment vertical="center" wrapText="1"/>
    </x:xf>
    <x:xf numFmtId="0" fontId="7" fillId="10" borderId="15" xfId="0" applyNumberFormat="1" applyFont="1" applyFill="1" applyBorder="1" applyAlignment="1">
      <x:alignment vertical="center" wrapText="1"/>
    </x:xf>
    <x:xf numFmtId="0" fontId="7" fillId="10" borderId="16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 applyAlignment="1">
      <x:alignment vertical="top" wrapText="1"/>
    </x:xf>
    <x:xf numFmtId="0" fontId="7" fillId="10" borderId="15" xfId="0" applyNumberFormat="1" applyFont="1" applyFill="1" applyBorder="1" applyAlignment="1">
      <x:alignment vertical="top" wrapText="1"/>
    </x:xf>
    <x:xf numFmtId="0" fontId="7" fillId="10" borderId="16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0" xfId="0" applyNumberFormat="1" applyFont="1" applyFill="1" applyBorder="1"/>
    <x:xf numFmtId="0" fontId="10" fillId="0" borderId="15" xfId="0" applyNumberFormat="1" applyFont="1" applyFill="1" applyBorder="1"/>
    <x:xf numFmtId="0" fontId="10" fillId="0" borderId="5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11" borderId="10" xfId="0" applyNumberFormat="1" applyFont="1" applyFill="1" applyBorder="1" applyAlignment="1">
      <x:alignment vertical="top" wrapText="1"/>
    </x:xf>
    <x:xf numFmtId="0" fontId="10" fillId="11" borderId="15" xfId="0" applyNumberFormat="1" applyFont="1" applyFill="1" applyBorder="1" applyAlignment="1">
      <x:alignment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15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200" fontId="10" fillId="12" borderId="10" xfId="0" applyNumberFormat="1" applyFont="1" applyFill="1" applyBorder="1" applyAlignment="1">
      <x:alignment vertical="top" wrapText="1"/>
    </x:xf>
    <x:xf numFmtId="200" fontId="10" fillId="12" borderId="15" xfId="0" applyNumberFormat="1" applyFont="1" applyFill="1" applyBorder="1" applyAlignment="1">
      <x:alignment vertical="top" wrapText="1"/>
    </x:xf>
    <x:xf numFmtId="200" fontId="10" fillId="12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10" xfId="0" applyNumberFormat="1" applyFont="1" applyFill="1" applyBorder="1"/>
    <x:xf numFmtId="0" fontId="11" fillId="0" borderId="15" xfId="0" applyNumberFormat="1" applyFont="1" applyFill="1" applyBorder="1"/>
    <x:xf numFmtId="0" fontId="11" fillId="0" borderId="5" xfId="0" applyNumberFormat="1" applyFont="1" applyFill="1" applyBorder="1"/>
    <x:xf numFmtId="201" fontId="11" fillId="0" borderId="10" xfId="0" applyNumberFormat="1" applyFont="1" applyFill="1" applyBorder="1"/>
    <x:xf numFmtId="201" fontId="11" fillId="0" borderId="15" xfId="0" applyNumberFormat="1" applyFont="1" applyFill="1" applyBorder="1"/>
    <x:xf numFmtId="201" fontId="11" fillId="0" borderId="5" xfId="0" applyNumberFormat="1" applyFont="1" applyFill="1" applyBorder="1"/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2F6B2D"/>
      </x:font>
      <x:fill>
        <x:patternFill patternType="solid">
          <x:bgColor rgb="FFDDF4D2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ont>
        <x:b/>
        <x:color rgb="FF8A5A00"/>
      </x:font>
      <x:fill>
        <x:patternFill patternType="solid">
          <x:bgColor rgb="FFFFE8B8"/>
        </x:patternFill>
      </x:fill>
    </x:dxf>
    <x:dxf>
      <x:font>
        <x:color rgb="FF6F8290"/>
      </x:font>
      <x:fill>
        <x:patternFill patternType="solid">
          <x:bgColor rgb="FFE8EDF1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ill>
        <x:patternFill patternType="solid"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9adda62414a33" /><Relationship Type="http://schemas.openxmlformats.org/officeDocument/2006/relationships/theme" Target="/xl/theme/theme1.xml" Id="Rf0459bdf970b4bba" /><Relationship Type="http://schemas.openxmlformats.org/officeDocument/2006/relationships/sharedStrings" Target="/xl/sharedStrings.xml" Id="R088be132d33c4bd5" /><Relationship Type="http://schemas.openxmlformats.org/officeDocument/2006/relationships/worksheet" Target="/xl/worksheets/sheet1.xml" Id="R7507fc6850e14dd3" /><Relationship Type="http://schemas.openxmlformats.org/officeDocument/2006/relationships/worksheet" Target="/xl/worksheets/sheet2.xml" Id="Ra272ee07eb64457e" /><Relationship Type="http://schemas.openxmlformats.org/officeDocument/2006/relationships/worksheet" Target="/xl/worksheets/sheet3.xml" Id="R26111ab75ab04f74" /><Relationship Type="http://schemas.openxmlformats.org/officeDocument/2006/relationships/worksheet" Target="/xl/worksheets/sheet4.xml" Id="Ra48b5ca1045a42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cb7c545a4f45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จำนวน</c:v>
          </c:tx>
          <c:cat>
            <c:strRef>
              <c:f>'Coverage'!$J$7:$J$10</c:f>
              <c:strCache>
                <c:ptCount val="0"/>
              </c:strCache>
            </c:strRef>
          </c:cat>
          <c:val>
            <c:numRef>
              <c:f>'Coverage'!$K$7:$K$10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cb7c545a4f45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bileCasesTable" displayName="mobileCasesTable" ref="A6:S102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3085eeec6642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2e709b941b247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8" hidden="0" customWidth="1"/>
    <x:col min="5" max="5" width="19" hidden="0" customWidth="1"/>
    <x:col min="6" max="6" width="29" hidden="0" customWidth="1"/>
    <x:col min="7" max="7" width="24" hidden="0" customWidth="1"/>
    <x:col min="8" max="8" width="24" hidden="0" customWidth="1"/>
  </x:cols>
  <x:sheetData>
    <x:row r="1" ht="34" customHeight="1">
      <x:c r="A1" s="9" t="str">
        <x:v>Planentrix — Mobile Test Plan</x:v>
      </x:c>
      <x:c r="B1" s="10" t="str">
        <x:v>Planentrix — Mobile Test Plan</x:v>
      </x:c>
      <x:c r="C1" s="10" t="str">
        <x:v>Planentrix — Mobile Test Plan</x:v>
      </x:c>
      <x:c r="D1" s="10" t="str">
        <x:v>Planentrix — Mobile Test Plan</x:v>
      </x:c>
      <x:c r="E1" s="10" t="str">
        <x:v>Planentrix — Mobile Test Plan</x:v>
      </x:c>
      <x:c r="F1" s="10" t="str">
        <x:v>Planentrix — Mobile Test Plan</x:v>
      </x:c>
      <x:c r="G1" s="10" t="str">
        <x:v>Planentrix — Mobile Test Plan</x:v>
      </x:c>
      <x:c r="H1" s="11" t="str">
        <x:v>Planentrix — Mobile Test Plan</x:v>
      </x:c>
    </x:row>
    <x:row r="2" ht="24" customHeight="1">
      <x:c r="A2" s="15" t="str">
        <x:v>แผนทดสอบเฉพาะโมบาย | Test Cases 96 รายการ | Version 1.0</x:v>
      </x:c>
      <x:c r="B2" s="15" t="str">
        <x:v>แผนทดสอบเฉพาะโมบาย | Test Cases 96 รายการ | Version 1.0</x:v>
      </x:c>
      <x:c r="C2" s="15" t="str">
        <x:v>แผนทดสอบเฉพาะโมบาย | Test Cases 96 รายการ | Version 1.0</x:v>
      </x:c>
      <x:c r="D2" s="15" t="str">
        <x:v>แผนทดสอบเฉพาะโมบาย | Test Cases 96 รายการ | Version 1.0</x:v>
      </x:c>
      <x:c r="E2" s="15" t="str">
        <x:v>แผนทดสอบเฉพาะโมบาย | Test Cases 96 รายการ | Version 1.0</x:v>
      </x:c>
      <x:c r="F2" s="15" t="str">
        <x:v>แผนทดสอบเฉพาะโมบาย | Test Cases 96 รายการ | Version 1.0</x:v>
      </x:c>
      <x:c r="G2" s="15" t="str">
        <x:v>แผนทดสอบเฉพาะโมบาย | Test Cases 96 รายการ | Version 1.0</x:v>
      </x:c>
      <x:c r="H2" s="15" t="str">
        <x:v>แผนทดสอบเฉพาะโมบาย | Test Cases 96 รายการ | Version 1.0</x:v>
      </x:c>
    </x:row>
    <x:row r="4" ht="38" customHeight="1">
      <x:c r="A4" s="25" t="str">
        <x:v>โครงการ</x:v>
      </x:c>
      <x:c r="B4" s="26" t="str">
        <x:v>Planentrix — Schedule Planner</x:v>
      </x:c>
      <x:c r="C4" s="26"/>
      <x:c r="D4" s="26"/>
      <x:c r="E4" s="26"/>
      <x:c r="F4" s="26"/>
      <x:c r="G4" s="26"/>
      <x:c r="H4" s="27"/>
    </x:row>
    <x:row r="5" ht="38" customHeight="1">
      <x:c r="A5" s="28" t="str">
        <x:v>แพลตฟอร์ม</x:v>
      </x:c>
      <x:c r="B5" s="24" t="str">
        <x:v>โมบาย</x:v>
      </x:c>
      <x:c r="C5" s="24"/>
      <x:c r="D5" s="24"/>
      <x:c r="E5" s="24"/>
      <x:c r="F5" s="24"/>
      <x:c r="G5" s="24"/>
      <x:c r="H5" s="29"/>
    </x:row>
    <x:row r="6" ht="38" customHeight="1">
      <x:c r="A6" s="28" t="str">
        <x:v>วัตถุประสงค์</x:v>
      </x:c>
      <x:c r="B6" s="24" t="str">
        <x:v>ยืนยันว่าแอปโมบายทำงานครบทุก flow ข้อมูลตรงกับ Backend และ Web พร้อมรองรับจอเล็ก lifecycle permission และเครือข่ายไม่เสถียร</x:v>
      </x:c>
      <x:c r="C6" s="24"/>
      <x:c r="D6" s="24"/>
      <x:c r="E6" s="24"/>
      <x:c r="F6" s="24"/>
      <x:c r="G6" s="24"/>
      <x:c r="H6" s="29"/>
    </x:row>
    <x:row r="7" ht="38" customHeight="1">
      <x:c r="A7" s="28" t="str">
        <x:v>ขอบเขตหน้า</x:v>
      </x:c>
      <x:c r="B7" s="24" t="str">
        <x:v>Login, SignIn, Main, Score, Homework, Timer, Test และ Bottom Navigation</x:v>
      </x:c>
      <x:c r="C7" s="24"/>
      <x:c r="D7" s="24"/>
      <x:c r="E7" s="24"/>
      <x:c r="F7" s="24"/>
      <x:c r="G7" s="24"/>
      <x:c r="H7" s="29"/>
    </x:row>
    <x:row r="8" ht="38" customHeight="1">
      <x:c r="A8" s="28" t="str">
        <x:v>ความเสี่ยงหลัก</x:v>
      </x:c>
      <x:c r="B8" s="24" t="str">
        <x:v>หน้าจอเล็ก/keyboard บัง, custom dropdown scroll ไม่ครบ, token ใน secure storage, background timer/exam, permission รูปภาพ และข้อมูล timezone</x:v>
      </x:c>
      <x:c r="C8" s="24"/>
      <x:c r="D8" s="24"/>
      <x:c r="E8" s="24"/>
      <x:c r="F8" s="24"/>
      <x:c r="G8" s="24"/>
      <x:c r="H8" s="29"/>
    </x:row>
    <x:row r="9" ht="38" customHeight="1">
      <x:c r="A9" s="28" t="str">
        <x:v>ไม่อยู่ในขอบเขต</x:v>
      </x:c>
      <x:c r="B9" s="24" t="str">
        <x:v>Penetration test เชิงลึก, Load test ระดับ production, บริการภายนอกที่ไม่มี test environment และข้อมูล production</x:v>
      </x:c>
      <x:c r="C9" s="24"/>
      <x:c r="D9" s="24"/>
      <x:c r="E9" s="24"/>
      <x:c r="F9" s="24"/>
      <x:c r="G9" s="24"/>
      <x:c r="H9" s="29"/>
    </x:row>
    <x:row r="10" ht="38" customHeight="1">
      <x:c r="A10" s="28" t="str">
        <x:v>จำนวน Test Cases</x:v>
      </x:c>
      <x:c r="B10" s="24" t="n">
        <x:v>96</x:v>
      </x:c>
      <x:c r="C10" s="24"/>
      <x:c r="D10" s="24"/>
      <x:c r="E10" s="24"/>
      <x:c r="F10" s="24"/>
      <x:c r="G10" s="24"/>
      <x:c r="H10" s="29"/>
    </x:row>
    <x:row r="11" ht="38" customHeight="1">
      <x:c r="A11" s="30" t="str">
        <x:v>หลักการ</x:v>
      </x:c>
      <x:c r="B11" s="31" t="str">
        <x:v>ใช้ข้อมูลจำลองเท่านั้น ทุก Fail ต้องระบุ Severity/Defect ID และแนบหลักฐานใน Notes</x:v>
      </x:c>
      <x:c r="C11" s="31"/>
      <x:c r="D11" s="31"/>
      <x:c r="E11" s="31"/>
      <x:c r="F11" s="31"/>
      <x:c r="G11" s="31"/>
      <x:c r="H11" s="32"/>
    </x:row>
    <x:row r="13" ht="25" customHeight="1">
      <x:c r="A13" s="35" t="str">
        <x:v>1. Test Strategy</x:v>
      </x:c>
      <x:c r="B13" s="35" t="str">
        <x:v>1. Test Strategy</x:v>
      </x:c>
      <x:c r="C13" s="35" t="str">
        <x:v>1. Test Strategy</x:v>
      </x:c>
      <x:c r="D13" s="35" t="str">
        <x:v>1. Test Strategy</x:v>
      </x:c>
      <x:c r="E13" s="35" t="str">
        <x:v>1. Test Strategy</x:v>
      </x:c>
      <x:c r="F13" s="35" t="str">
        <x:v>1. Test Strategy</x:v>
      </x:c>
      <x:c r="G13" s="35" t="str">
        <x:v>1. Test Strategy</x:v>
      </x:c>
      <x:c r="H13" s="35" t="str">
        <x:v>1. Test Strategy</x:v>
      </x:c>
    </x:row>
    <x:row r="14">
      <x:c r="A14" s="94" t="str">
        <x:v>ระดับ</x:v>
      </x:c>
      <x:c r="B14" s="94" t="str">
        <x:v>เป้าหมาย</x:v>
      </x:c>
      <x:c r="C14" s="94" t="str">
        <x:v>สิ่งที่ตรวจ</x:v>
      </x:c>
      <x:c r="D14" s="94" t="str">
        <x:v>เจ้าของ</x:v>
      </x:c>
      <x:c r="E14" s="94" t="str">
        <x:v>หลักฐาน</x:v>
      </x:c>
      <x:c r="F14" s="94" t="str">
        <x:v>ความถี่</x:v>
      </x:c>
      <x:c r="G14" s="94" t="str">
        <x:v>เครื่องมือ</x:v>
      </x:c>
      <x:c r="H14" s="94" t="str">
        <x:v>เกณฑ์ผ่าน</x:v>
      </x:c>
    </x:row>
    <x:row r="15">
      <x:c r="A15" s="95" t="str">
        <x:v>Smoke</x:v>
      </x:c>
      <x:c r="B15" s="96" t="str">
        <x:v>ยืนยันว่า build เปิดและ flow หลักเริ่มได้</x:v>
      </x:c>
      <x:c r="C15" s="96" t="str">
        <x:v>Login + เปิดทุกหน้า + API หลัก</x:v>
      </x:c>
      <x:c r="D15" s="96" t="str">
        <x:v>QA</x:v>
      </x:c>
      <x:c r="E15" s="96" t="str">
        <x:v>ภาพ/ผลรัน</x:v>
      </x:c>
      <x:c r="F15" s="96" t="str">
        <x:v>ทุก build</x:v>
      </x:c>
      <x:c r="G15" s="96" t="str">
        <x:v>Device/Browser</x:v>
      </x:c>
      <x:c r="H15" s="97" t="str">
        <x:v>P0 smoke ผ่าน</x:v>
      </x:c>
    </x:row>
    <x:row r="16">
      <x:c r="A16" s="95" t="str">
        <x:v>Functional</x:v>
      </x:c>
      <x:c r="B16" s="96" t="str">
        <x:v>ตรวจ business flow</x:v>
      </x:c>
      <x:c r="C16" s="96" t="str">
        <x:v>Login, SignIn, Main, Score, Homework, Timer, Test และ Bottom Navigation</x:v>
      </x:c>
      <x:c r="D16" s="96" t="str">
        <x:v>QA</x:v>
      </x:c>
      <x:c r="E16" s="96" t="str">
        <x:v>Actual result</x:v>
      </x:c>
      <x:c r="F16" s="96" t="str">
        <x:v>ทุก sprint</x:v>
      </x:c>
      <x:c r="G16" s="96" t="str">
        <x:v>Manual + automated</x:v>
      </x:c>
      <x:c r="H16" s="97" t="str">
        <x:v>Expected result ตรง</x:v>
      </x:c>
    </x:row>
    <x:row r="17">
      <x:c r="A17" s="95" t="str">
        <x:v>Integration</x:v>
      </x:c>
      <x:c r="B17" s="96" t="str">
        <x:v>ตรวจ Frontend ↔ Backend ↔ Database</x:v>
      </x:c>
      <x:c r="C17" s="96" t="str">
        <x:v>Auth, CRUD, persistence, cross-channel</x:v>
      </x:c>
      <x:c r="D17" s="96" t="str">
        <x:v>QA/Dev</x:v>
      </x:c>
      <x:c r="E17" s="96" t="str">
        <x:v>Request/response</x:v>
      </x:c>
      <x:c r="F17" s="96" t="str">
        <x:v>ทุก API change</x:v>
      </x:c>
      <x:c r="G17" s="96" t="str">
        <x:v>Network log</x:v>
      </x:c>
      <x:c r="H17" s="97" t="str">
        <x:v>ข้อมูลคงอยู่และไม่ซ้ำ</x:v>
      </x:c>
    </x:row>
    <x:row r="18">
      <x:c r="A18" s="95" t="str">
        <x:v>UI/Responsive</x:v>
      </x:c>
      <x:c r="B18" s="96" t="str">
        <x:v>ตรวจ layout และการเข้าถึง</x:v>
      </x:c>
      <x:c r="C18" s="96" t="str">
        <x:v>Viewport/device, dropdown, modal, scroll</x:v>
      </x:c>
      <x:c r="D18" s="96" t="str">
        <x:v>QA/Designer</x:v>
      </x:c>
      <x:c r="E18" s="96" t="str">
        <x:v>Screenshot</x:v>
      </x:c>
      <x:c r="F18" s="96" t="str">
        <x:v>ทุก UI change</x:v>
      </x:c>
      <x:c r="G18" s="96" t="str">
        <x:v>Viewport matrix</x:v>
      </x:c>
      <x:c r="H18" s="97" t="str">
        <x:v>ไม่ล้น/ไม่ถูกบัง</x:v>
      </x:c>
    </x:row>
    <x:row r="19">
      <x:c r="A19" s="95" t="str">
        <x:v>Regression</x:v>
      </x:c>
      <x:c r="B19" s="96" t="str">
        <x:v>ตรวจว่าฟังก์ชันเดิมไม่เสีย</x:v>
      </x:c>
      <x:c r="C19" s="96" t="str">
        <x:v>Shared components และ calculations</x:v>
      </x:c>
      <x:c r="D19" s="96" t="str">
        <x:v>QA</x:v>
      </x:c>
      <x:c r="E19" s="96" t="str">
        <x:v>Regression report</x:v>
      </x:c>
      <x:c r="F19" s="96" t="str">
        <x:v>ก่อน release</x:v>
      </x:c>
      <x:c r="G19" s="96" t="str">
        <x:v>Automated + manual</x:v>
      </x:c>
      <x:c r="H19" s="97" t="str">
        <x:v>P0/P1 ผ่าน</x:v>
      </x:c>
    </x:row>
    <x:row r="20">
      <x:c r="A20" s="95" t="str">
        <x:v>Security/Recovery</x:v>
      </x:c>
      <x:c r="B20" s="96" t="str">
        <x:v>ตรวจ session/permission/error</x:v>
      </x:c>
      <x:c r="C20" s="96" t="str">
        <x:v>401, timeout, offline, double submit</x:v>
      </x:c>
      <x:c r="D20" s="96" t="str">
        <x:v>QA/Dev</x:v>
      </x:c>
      <x:c r="E20" s="96" t="str">
        <x:v>Log ที่ปกปิดข้อมูล</x:v>
      </x:c>
      <x:c r="F20" s="96" t="str">
        <x:v>ก่อน release</x:v>
      </x:c>
      <x:c r="G20" s="96" t="str">
        <x:v>API/client tools</x:v>
      </x:c>
      <x:c r="H20" s="97" t="str">
        <x:v>ไม่มีข้อมูลรั่ว/ซ้ำ</x:v>
      </x:c>
    </x:row>
    <x:row r="21">
      <x:c r="A21" s="95"/>
      <x:c r="B21" s="96"/>
      <x:c r="C21" s="96"/>
      <x:c r="D21" s="96"/>
      <x:c r="E21" s="96"/>
      <x:c r="F21" s="96"/>
      <x:c r="G21" s="96"/>
      <x:c r="H21" s="97"/>
    </x:row>
    <x:row r="22" ht="25" customHeight="1">
      <x:c r="A22" s="98" t="str">
        <x:v>2. Environment Matrix</x:v>
      </x:c>
      <x:c r="B22" s="99" t="str">
        <x:v>2. Environment Matrix</x:v>
      </x:c>
      <x:c r="C22" s="99" t="str">
        <x:v>2. Environment Matrix</x:v>
      </x:c>
      <x:c r="D22" s="99" t="str">
        <x:v>2. Environment Matrix</x:v>
      </x:c>
      <x:c r="E22" s="99" t="str">
        <x:v>2. Environment Matrix</x:v>
      </x:c>
      <x:c r="F22" s="99" t="str">
        <x:v>2. Environment Matrix</x:v>
      </x:c>
      <x:c r="G22" s="99" t="str">
        <x:v>2. Environment Matrix</x:v>
      </x:c>
      <x:c r="H22" s="100" t="str">
        <x:v>2. Environment Matrix</x:v>
      </x:c>
    </x:row>
    <x:row r="23">
      <x:c r="A23" s="94" t="str">
        <x:v>กลุ่ม</x:v>
      </x:c>
      <x:c r="B23" s="94" t="str">
        <x:v>ระบบ/Browser</x:v>
      </x:c>
      <x:c r="C23" s="94" t="str">
        <x:v>ขนาด/Viewport</x:v>
      </x:c>
      <x:c r="D23" s="94" t="str">
        <x:v>Network</x:v>
      </x:c>
      <x:c r="E23" s="94" t="str">
        <x:v>ภาษา/Timezone</x:v>
      </x:c>
      <x:c r="F23" s="94" t="str">
        <x:v>หมายเหตุ</x:v>
      </x:c>
      <x:c r="G23" s="96"/>
      <x:c r="H23" s="97"/>
    </x:row>
    <x:row r="24">
      <x:c r="A24" s="95" t="str">
        <x:v>Android</x:v>
      </x:c>
      <x:c r="B24" s="96" t="str">
        <x:v>Android 10+</x:v>
      </x:c>
      <x:c r="C24" s="96" t="str">
        <x:v>360x640 / 390x844 / 412x915</x:v>
      </x:c>
      <x:c r="D24" s="96" t="str">
        <x:v>Wi-Fi / 4G / Offline</x:v>
      </x:c>
      <x:c r="E24" s="96" t="str">
        <x:v>ไทย / Asia-Bangkok</x:v>
      </x:c>
      <x:c r="F24" s="96" t="str">
        <x:v>ทดสอบหลัก</x:v>
      </x:c>
      <x:c r="G24" s="96"/>
      <x:c r="H24" s="97"/>
    </x:row>
    <x:row r="25">
      <x:c r="A25" s="95" t="str">
        <x:v>iOS</x:v>
      </x:c>
      <x:c r="B25" s="96" t="str">
        <x:v>iOS 15+</x:v>
      </x:c>
      <x:c r="C25" s="96" t="str">
        <x:v>375x667 / 390x844 / 430x932</x:v>
      </x:c>
      <x:c r="D25" s="96" t="str">
        <x:v>Wi-Fi / 4G / Offline</x:v>
      </x:c>
      <x:c r="E25" s="96" t="str">
        <x:v>ไทย / Asia-Bangkok</x:v>
      </x:c>
      <x:c r="F25" s="96" t="str">
        <x:v>ถ้ามีเครื่อง</x:v>
      </x:c>
      <x:c r="G25" s="96"/>
      <x:c r="H25" s="97"/>
    </x:row>
    <x:row r="26">
      <x:c r="A26" s="95" t="str">
        <x:v>Lifecycle</x:v>
      </x:c>
      <x:c r="B26" s="96" t="str">
        <x:v>Android/iOS</x:v>
      </x:c>
      <x:c r="C26" s="96" t="str">
        <x:v>Portrait + font scale 1.3-1.5</x:v>
      </x:c>
      <x:c r="D26" s="96" t="str">
        <x:v>สลับ Online/Offline</x:v>
      </x:c>
      <x:c r="E26" s="96" t="str">
        <x:v>ไทย / Asia-Bangkok</x:v>
      </x:c>
      <x:c r="F26" s="96" t="str">
        <x:v>Background, lock screen, restart</x:v>
      </x:c>
      <x:c r="G26" s="96"/>
      <x:c r="H26" s="97"/>
    </x:row>
    <x:row r="27">
      <x:c r="A27" s="95" t="str">
        <x:v>Cross-channel</x:v>
      </x:c>
      <x:c r="B27" s="96" t="str">
        <x:v>Mobile + Web User</x:v>
      </x:c>
      <x:c r="C27" s="96" t="str">
        <x:v>พร้อมกัน 2 ช่องทาง</x:v>
      </x:c>
      <x:c r="D27" s="96" t="str">
        <x:v>ปกติ/ตัดสลับ</x:v>
      </x:c>
      <x:c r="E27" s="96" t="str">
        <x:v>ไทย / Asia-Bangkok</x:v>
      </x:c>
      <x:c r="F27" s="96" t="str">
        <x:v>ข้อมูลต้องตรงกัน</x:v>
      </x:c>
      <x:c r="G27" s="96"/>
      <x:c r="H27" s="97"/>
    </x:row>
    <x:row r="28">
      <x:c r="A28" s="95"/>
      <x:c r="B28" s="96"/>
      <x:c r="C28" s="96"/>
      <x:c r="D28" s="96"/>
      <x:c r="E28" s="96"/>
      <x:c r="F28" s="96"/>
      <x:c r="G28" s="96"/>
      <x:c r="H28" s="97"/>
    </x:row>
    <x:row r="29" ht="25" customHeight="1">
      <x:c r="A29" s="101" t="str">
        <x:v>3. Entry / Exit Criteria</x:v>
      </x:c>
      <x:c r="B29" s="102" t="str">
        <x:v>3. Entry / Exit Criteria</x:v>
      </x:c>
      <x:c r="C29" s="102" t="str">
        <x:v>3. Entry / Exit Criteria</x:v>
      </x:c>
      <x:c r="D29" s="102" t="str">
        <x:v>3. Entry / Exit Criteria</x:v>
      </x:c>
      <x:c r="E29" s="102" t="str">
        <x:v>3. Entry / Exit Criteria</x:v>
      </x:c>
      <x:c r="F29" s="102" t="str">
        <x:v>3. Entry / Exit Criteria</x:v>
      </x:c>
      <x:c r="G29" s="102" t="str">
        <x:v>3. Entry / Exit Criteria</x:v>
      </x:c>
      <x:c r="H29" s="103" t="str">
        <x:v>3. Entry / Exit Criteria</x:v>
      </x:c>
    </x:row>
    <x:row r="30">
      <x:c r="A30" s="94" t="str">
        <x:v>Entry Criteria</x:v>
      </x:c>
      <x:c r="B30" s="94" t="str">
        <x:v>รายละเอียด</x:v>
      </x:c>
      <x:c r="C30" s="94" t="str">
        <x:v>Exit Criteria</x:v>
      </x:c>
      <x:c r="D30" s="94" t="str">
        <x:v>รายละเอียด</x:v>
      </x:c>
      <x:c r="E30" s="96"/>
      <x:c r="F30" s="96"/>
      <x:c r="G30" s="96"/>
      <x:c r="H30" s="97"/>
    </x:row>
    <x:row r="31">
      <x:c r="A31" s="95" t="str">
        <x:v>Build พร้อม</x:v>
      </x:c>
      <x:c r="B31" s="96" t="str">
        <x:v>ติดตั้ง/เปิดได้และระบุ version</x:v>
      </x:c>
      <x:c r="C31" s="96" t="str">
        <x:v>P0/P1</x:v>
      </x:c>
      <x:c r="D31" s="96" t="str">
        <x:v>ผ่านทั้งหมดหรืออนุมัติความเสี่ยงเป็นลายลักษณ์อักษร</x:v>
      </x:c>
      <x:c r="E31" s="96"/>
      <x:c r="F31" s="96"/>
      <x:c r="G31" s="96"/>
      <x:c r="H31" s="97"/>
    </x:row>
    <x:row r="32">
      <x:c r="A32" s="95" t="str">
        <x:v>Environment พร้อม</x:v>
      </x:c>
      <x:c r="B32" s="96" t="str">
        <x:v>QA API/DB และ test account ใช้งานได้</x:v>
      </x:c>
      <x:c r="C32" s="96" t="str">
        <x:v>P2/P3</x:v>
      </x:c>
      <x:c r="D32" s="96" t="str">
        <x:v>ไม่มี defect ที่ขวาง flow หลัก</x:v>
      </x:c>
      <x:c r="E32" s="96"/>
      <x:c r="F32" s="96"/>
      <x:c r="G32" s="96"/>
      <x:c r="H32" s="97"/>
    </x:row>
    <x:row r="33">
      <x:c r="A33" s="95" t="str">
        <x:v>Test data พร้อม</x:v>
      </x:c>
      <x:c r="B33" s="96" t="str">
        <x:v>มีทุก business state ที่ระบุใน Test Data</x:v>
      </x:c>
      <x:c r="C33" s="96" t="str">
        <x:v>Coverage</x:v>
      </x:c>
      <x:c r="D33" s="96" t="str">
        <x:v>ดำเนินการ Planned P0/P1 ครบ 100%</x:v>
      </x:c>
      <x:c r="E33" s="96"/>
      <x:c r="F33" s="96"/>
      <x:c r="G33" s="96"/>
      <x:c r="H33" s="97"/>
    </x:row>
    <x:row r="34">
      <x:c r="A34" s="95" t="str">
        <x:v>Requirements ชัด</x:v>
      </x:c>
      <x:c r="B34" s="96" t="str">
        <x:v>Business rules/API contract ยืนยันแล้ว</x:v>
      </x:c>
      <x:c r="C34" s="96" t="str">
        <x:v>Regression</x:v>
      </x:c>
      <x:c r="D34" s="96" t="str">
        <x:v>Smoke และ regression ที่เกี่ยวข้องผ่าน</x:v>
      </x:c>
      <x:c r="E34" s="96"/>
      <x:c r="F34" s="96"/>
      <x:c r="G34" s="96"/>
      <x:c r="H34" s="97"/>
    </x:row>
    <x:row r="35">
      <x:c r="A35" s="95" t="str">
        <x:v>Dependencies พร้อม</x:v>
      </x:c>
      <x:c r="B35" s="96" t="str">
        <x:v>Migration/config ที่จำเป็นรันแล้ว</x:v>
      </x:c>
      <x:c r="C35" s="96" t="str">
        <x:v>Data integrity</x:v>
      </x:c>
      <x:c r="D35" s="96" t="str">
        <x:v>ไม่มีข้อมูลซ้ำ/สูญหาย</x:v>
      </x:c>
      <x:c r="E35" s="96"/>
      <x:c r="F35" s="96"/>
      <x:c r="G35" s="96"/>
      <x:c r="H35" s="97"/>
    </x:row>
    <x:row r="36">
      <x:c r="A36" s="95" t="str">
        <x:v>Owner พร้อม</x:v>
      </x:c>
      <x:c r="B36" s="96" t="str">
        <x:v>มีผู้รับผิดชอบ triage</x:v>
      </x:c>
      <x:c r="C36" s="96" t="str">
        <x:v>Sign-off</x:v>
      </x:c>
      <x:c r="D36" s="96" t="str">
        <x:v>QA/PO/Tech Lead ยืนยันผล</x:v>
      </x:c>
      <x:c r="E36" s="96"/>
      <x:c r="F36" s="96"/>
      <x:c r="G36" s="96"/>
      <x:c r="H36" s="97"/>
    </x:row>
    <x:row r="37">
      <x:c r="A37" s="95"/>
      <x:c r="B37" s="96"/>
      <x:c r="C37" s="96"/>
      <x:c r="D37" s="96"/>
      <x:c r="E37" s="96"/>
      <x:c r="F37" s="96"/>
      <x:c r="G37" s="96"/>
      <x:c r="H37" s="97"/>
    </x:row>
    <x:row r="38" ht="25" customHeight="1">
      <x:c r="A38" s="104" t="str">
        <x:v>4. Priority / Severity</x:v>
      </x:c>
      <x:c r="B38" s="105" t="str">
        <x:v>4. Priority / Severity</x:v>
      </x:c>
      <x:c r="C38" s="105" t="str">
        <x:v>4. Priority / Severity</x:v>
      </x:c>
      <x:c r="D38" s="105" t="str">
        <x:v>4. Priority / Severity</x:v>
      </x:c>
      <x:c r="E38" s="105" t="str">
        <x:v>4. Priority / Severity</x:v>
      </x:c>
      <x:c r="F38" s="105" t="str">
        <x:v>4. Priority / Severity</x:v>
      </x:c>
      <x:c r="G38" s="105" t="str">
        <x:v>4. Priority / Severity</x:v>
      </x:c>
      <x:c r="H38" s="106" t="str">
        <x:v>4. Priority / Severity</x:v>
      </x:c>
    </x:row>
    <x:row r="39">
      <x:c r="A39" s="94" t="str">
        <x:v>Priority</x:v>
      </x:c>
      <x:c r="B39" s="94" t="str">
        <x:v>ความหมาย</x:v>
      </x:c>
      <x:c r="C39" s="94" t="str">
        <x:v>กำหนดทดสอบ</x:v>
      </x:c>
      <x:c r="D39" s="94" t="str">
        <x:v>ตัวอย่าง</x:v>
      </x:c>
      <x:c r="E39" s="94" t="str">
        <x:v>Severity</x:v>
      </x:c>
      <x:c r="F39" s="94" t="str">
        <x:v>ผลกระทบ</x:v>
      </x:c>
      <x:c r="G39" s="94" t="str">
        <x:v>ตัวอย่าง</x:v>
      </x:c>
      <x:c r="H39" s="94" t="str">
        <x:v>การจัดการ</x:v>
      </x:c>
    </x:row>
    <x:row r="40">
      <x:c r="A40" s="95" t="str">
        <x:v>P0-Critical</x:v>
      </x:c>
      <x:c r="B40" s="96" t="str">
        <x:v>เส้นทางหลัก/ข้อมูล/ความปลอดภัย</x:v>
      </x:c>
      <x:c r="C40" s="96" t="str">
        <x:v>ทุก build/release</x:v>
      </x:c>
      <x:c r="D40" s="96" t="str">
        <x:v>Login, Save, Submit, Calculation</x:v>
      </x:c>
      <x:c r="E40" s="96" t="str">
        <x:v>S1-Blocker</x:v>
      </x:c>
      <x:c r="F40" s="96" t="str">
        <x:v>ระบบใช้ต่อไม่ได้/ข้อมูลเสีย</x:v>
      </x:c>
      <x:c r="G40" s="96" t="str">
        <x:v>Login ไม่ได้/คะแนนผิด</x:v>
      </x:c>
      <x:c r="H40" s="97" t="str">
        <x:v>หยุด release</x:v>
      </x:c>
    </x:row>
    <x:row r="41">
      <x:c r="A41" s="95" t="str">
        <x:v>P1-High</x:v>
      </x:c>
      <x:c r="B41" s="96" t="str">
        <x:v>ฟังก์ชันสำคัญ</x:v>
      </x:c>
      <x:c r="C41" s="96" t="str">
        <x:v>ทุก sprint</x:v>
      </x:c>
      <x:c r="D41" s="96" t="str">
        <x:v>CRUD, responsive หลัก</x:v>
      </x:c>
      <x:c r="E41" s="96" t="str">
        <x:v>S2-Major</x:v>
      </x:c>
      <x:c r="F41" s="96" t="str">
        <x:v>ฟังก์ชันหลักเสียแต่มีทางเลี่ยง</x:v>
      </x:c>
      <x:c r="G41" s="96" t="str">
        <x:v>แก้ไข/ลบไม่ได้</x:v>
      </x:c>
      <x:c r="H41" s="97" t="str">
        <x:v>แก้ก่อน release</x:v>
      </x:c>
    </x:row>
    <x:row r="42">
      <x:c r="A42" s="95" t="str">
        <x:v>P2-Medium</x:v>
      </x:c>
      <x:c r="B42" s="96" t="str">
        <x:v>รองรับบางกรณี/ความสะดวก</x:v>
      </x:c>
      <x:c r="C42" s="96" t="str">
        <x:v>Regression</x:v>
      </x:c>
      <x:c r="D42" s="96" t="str">
        <x:v>Hover, keyboard, browser รอง</x:v>
      </x:c>
      <x:c r="E42" s="96" t="str">
        <x:v>S3-Minor</x:v>
      </x:c>
      <x:c r="F42" s="96" t="str">
        <x:v>ไม่ขวาง flow</x:v>
      </x:c>
      <x:c r="G42" s="96" t="str">
        <x:v>สี/ข้อความผิด</x:v>
      </x:c>
      <x:c r="H42" s="97" t="str">
        <x:v>วางแผนแก้</x:v>
      </x:c>
    </x:row>
    <x:row r="43">
      <x:c r="A43" s="95" t="str">
        <x:v>P3-Low</x:v>
      </x:c>
      <x:c r="B43" s="96" t="str">
        <x:v>ปรับปรุงเล็กน้อย</x:v>
      </x:c>
      <x:c r="C43" s="96" t="str">
        <x:v>เมื่อมีเวลา</x:v>
      </x:c>
      <x:c r="D43" s="96" t="str">
        <x:v>Cosmetic</x:v>
      </x:c>
      <x:c r="E43" s="96" t="str">
        <x:v>S4-Cosmetic</x:v>
      </x:c>
      <x:c r="F43" s="96" t="str">
        <x:v>ความสวยงาม</x:v>
      </x:c>
      <x:c r="G43" s="96" t="str">
        <x:v>Spacing</x:v>
      </x:c>
      <x:c r="H43" s="97" t="str">
        <x:v>Backlog</x:v>
      </x:c>
    </x:row>
    <x:row r="44">
      <x:c r="A44" s="95"/>
      <x:c r="B44" s="96"/>
      <x:c r="C44" s="96"/>
      <x:c r="D44" s="96"/>
      <x:c r="E44" s="96"/>
      <x:c r="F44" s="96"/>
      <x:c r="G44" s="96"/>
      <x:c r="H44" s="97"/>
    </x:row>
    <x:row r="45" ht="25" customHeight="1">
      <x:c r="A45" s="107" t="str">
        <x:v>5. Execution Workflow</x:v>
      </x:c>
      <x:c r="B45" s="108" t="str">
        <x:v>5. Execution Workflow</x:v>
      </x:c>
      <x:c r="C45" s="108" t="str">
        <x:v>5. Execution Workflow</x:v>
      </x:c>
      <x:c r="D45" s="108" t="str">
        <x:v>5. Execution Workflow</x:v>
      </x:c>
      <x:c r="E45" s="108" t="str">
        <x:v>5. Execution Workflow</x:v>
      </x:c>
      <x:c r="F45" s="108" t="str">
        <x:v>5. Execution Workflow</x:v>
      </x:c>
      <x:c r="G45" s="108" t="str">
        <x:v>5. Execution Workflow</x:v>
      </x:c>
      <x:c r="H45" s="109" t="str">
        <x:v>5. Execution Workflow</x:v>
      </x:c>
    </x:row>
    <x:row r="46">
      <x:c r="A46" s="95" t="str">
        <x:v>1</x:v>
      </x:c>
      <x:c r="B46" s="96" t="str">
        <x:v>เลือก Test Case ตามหน้า/Priority</x:v>
      </x:c>
      <x:c r="C46" s="96" t="str">
        <x:v>2</x:v>
      </x:c>
      <x:c r="D46" s="96" t="str">
        <x:v>เตรียม Test Data</x:v>
      </x:c>
      <x:c r="E46" s="96" t="str">
        <x:v>3</x:v>
      </x:c>
      <x:c r="F46" s="96" t="str">
        <x:v>รันและกรอก Actual Result</x:v>
      </x:c>
      <x:c r="G46" s="96" t="str">
        <x:v>4</x:v>
      </x:c>
      <x:c r="H46" s="97" t="str">
        <x:v>เลือก Status</x:v>
      </x:c>
    </x:row>
    <x:row r="47">
      <x:c r="A47" s="95" t="str">
        <x:v>5</x:v>
      </x:c>
      <x:c r="B47" s="96" t="str">
        <x:v>ถ้า Fail ใส่ Severity/Defect ID</x:v>
      </x:c>
      <x:c r="C47" s="96" t="str">
        <x:v>6</x:v>
      </x:c>
      <x:c r="D47" s="96" t="str">
        <x:v>แนบหลักฐานใน Notes</x:v>
      </x:c>
      <x:c r="E47" s="96" t="str">
        <x:v>7</x:v>
      </x:c>
      <x:c r="F47" s="96" t="str">
        <x:v>Retest หลังแก้</x:v>
      </x:c>
      <x:c r="G47" s="96" t="str">
        <x:v>8</x:v>
      </x:c>
      <x:c r="H47" s="97" t="str">
        <x:v>รัน Regression ที่เกี่ยวข้อง</x:v>
      </x:c>
    </x:row>
    <x:row r="48">
      <x:c r="A48" s="95" t="str">
        <x:v>Status</x:v>
      </x:c>
      <x:c r="B48" s="96" t="str">
        <x:v>Not Run / Pass / Fail / Blocked</x:v>
      </x:c>
      <x:c r="C48" s="96" t="str">
        <x:v>เป้าหมาย</x:v>
      </x:c>
      <x:c r="D48" s="96" t="str">
        <x:v>Pass rate P0/P1 = 100%</x:v>
      </x:c>
      <x:c r="E48" s="96" t="str">
        <x:v>Triage</x:v>
      </x:c>
      <x:c r="F48" s="96" t="str">
        <x:v>P0/S1 ก่อน</x:v>
      </x:c>
      <x:c r="G48" s="96" t="str">
        <x:v>Report</x:v>
      </x:c>
      <x:c r="H48" s="97" t="str">
        <x:v>ใช้ชีต Coverage</x:v>
      </x:c>
    </x:row>
    <x:row r="49">
      <x:c r="A49" s="95" t="str">
        <x:v>Version</x:v>
      </x:c>
      <x:c r="B49" s="96" t="str">
        <x:v>1.0</x:v>
      </x:c>
      <x:c r="C49" s="96" t="str">
        <x:v>วันที่</x:v>
      </x:c>
      <x:c r="D49" s="96" t="str">
        <x:v>18/08/2569</x:v>
      </x:c>
      <x:c r="E49" s="96" t="str">
        <x:v>เจ้าของ</x:v>
      </x:c>
      <x:c r="F49" s="96" t="str">
        <x:v>QA Lead</x:v>
      </x:c>
      <x:c r="G49" s="96" t="str">
        <x:v>อนุมัติ</x:v>
      </x:c>
      <x:c r="H49" s="97" t="str">
        <x:v>PO / Tech Lead</x:v>
      </x:c>
    </x:row>
    <x:row r="50">
      <x:c r="A50" s="95" t="str">
        <x:v>หมายเหตุ</x:v>
      </x:c>
      <x:c r="B50" s="96" t="str">
        <x:v>เพิ่ม Test Case ได้ แต่ห้ามใช้ ID ซ้ำ</x:v>
      </x:c>
      <x:c r="C50" s="96" t="str"/>
      <x:c r="D50" s="96" t="str"/>
      <x:c r="E50" s="96" t="str"/>
      <x:c r="F50" s="96" t="str"/>
      <x:c r="G50" s="96" t="str"/>
      <x:c r="H50" s="97" t="str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22:H22"/>
    <x:mergeCell ref="A29:H29"/>
    <x:mergeCell ref="A38:H38"/>
    <x:mergeCell ref="A45:H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Mobile Test Cases</x:v>
      </x:c>
      <x:c r="B1" s="10" t="str">
        <x:v>Planentrix — Mobile Test Cases</x:v>
      </x:c>
      <x:c r="C1" s="10" t="str">
        <x:v>Planentrix — Mobile Test Cases</x:v>
      </x:c>
      <x:c r="D1" s="10" t="str">
        <x:v>Planentrix — Mobile Test Cases</x:v>
      </x:c>
      <x:c r="E1" s="10" t="str">
        <x:v>Planentrix — Mobile Test Cases</x:v>
      </x:c>
      <x:c r="F1" s="10" t="str">
        <x:v>Planentrix — Mobile Test Cases</x:v>
      </x:c>
      <x:c r="G1" s="10" t="str">
        <x:v>Planentrix — Mobile Test Cases</x:v>
      </x:c>
      <x:c r="H1" s="10" t="str">
        <x:v>Planentrix — Mobile Test Cases</x:v>
      </x:c>
      <x:c r="I1" s="10" t="str">
        <x:v>Planentrix — Mobile Test Cases</x:v>
      </x:c>
      <x:c r="J1" s="10" t="str">
        <x:v>Planentrix — Mobile Test Cases</x:v>
      </x:c>
      <x:c r="K1" s="10" t="str">
        <x:v>Planentrix — Mobile Test Cases</x:v>
      </x:c>
      <x:c r="L1" s="10" t="str">
        <x:v>Planentrix — Mobile Test Cases</x:v>
      </x:c>
      <x:c r="M1" s="10" t="str">
        <x:v>Planentrix — Mobile Test Cases</x:v>
      </x:c>
      <x:c r="N1" s="10" t="str">
        <x:v>Planentrix — Mobile Test Cases</x:v>
      </x:c>
      <x:c r="O1" s="10" t="str">
        <x:v>Planentrix — Mobile Test Cases</x:v>
      </x:c>
      <x:c r="P1" s="10" t="str">
        <x:v>Planentrix — Mobile Test Cases</x:v>
      </x:c>
      <x:c r="Q1" s="10" t="str">
        <x:v>Planentrix — Mobile Test Cases</x:v>
      </x:c>
      <x:c r="R1" s="10" t="str">
        <x:v>Planentrix — Mobile Test Cases</x:v>
      </x:c>
      <x:c r="S1" s="11" t="str">
        <x:v>Planentrix — Mobile Test Cases</x:v>
      </x:c>
    </x:row>
    <x:row r="2" ht="24" customHeight="1">
      <x:c r="A2" s="15" t="str">
        <x:v>Test Cases เฉพาะโมบาย จำนวน 96 รายการ | กรอกผลในคอลัมน์ Actual Result, Status, Severity และ Defect ID</x:v>
      </x:c>
      <x:c r="B2" s="15" t="str">
        <x:v>Test Cases เฉพาะโมบาย จำนวน 96 รายการ | กรอกผลในคอลัมน์ Actual Result, Status, Severity และ Defect ID</x:v>
      </x:c>
      <x:c r="C2" s="15" t="str">
        <x:v>Test Cases เฉพาะโมบาย จำนวน 96 รายการ | กรอกผลในคอลัมน์ Actual Result, Status, Severity และ Defect ID</x:v>
      </x:c>
      <x:c r="D2" s="15" t="str">
        <x:v>Test Cases เฉพาะโมบาย จำนวน 96 รายการ | กรอกผลในคอลัมน์ Actual Result, Status, Severity และ Defect ID</x:v>
      </x:c>
      <x:c r="E2" s="15" t="str">
        <x:v>Test Cases เฉพาะโมบาย จำนวน 96 รายการ | กรอกผลในคอลัมน์ Actual Result, Status, Severity และ Defect ID</x:v>
      </x:c>
      <x:c r="F2" s="15" t="str">
        <x:v>Test Cases เฉพาะโมบาย จำนวน 96 รายการ | กรอกผลในคอลัมน์ Actual Result, Status, Severity และ Defect ID</x:v>
      </x:c>
      <x:c r="G2" s="15" t="str">
        <x:v>Test Cases เฉพาะโมบาย จำนวน 96 รายการ | กรอกผลในคอลัมน์ Actual Result, Status, Severity และ Defect ID</x:v>
      </x:c>
      <x:c r="H2" s="15" t="str">
        <x:v>Test Cases เฉพาะโมบาย จำนวน 96 รายการ | กรอกผลในคอลัมน์ Actual Result, Status, Severity และ Defect ID</x:v>
      </x:c>
      <x:c r="I2" s="15" t="str">
        <x:v>Test Cases เฉพาะโมบาย จำนวน 96 รายการ | กรอกผลในคอลัมน์ Actual Result, Status, Severity และ Defect ID</x:v>
      </x:c>
      <x:c r="J2" s="15" t="str">
        <x:v>Test Cases เฉพาะโมบาย จำนวน 96 รายการ | กรอกผลในคอลัมน์ Actual Result, Status, Severity และ Defect ID</x:v>
      </x:c>
      <x:c r="K2" s="15" t="str">
        <x:v>Test Cases เฉพาะโมบาย จำนวน 96 รายการ | กรอกผลในคอลัมน์ Actual Result, Status, Severity และ Defect ID</x:v>
      </x:c>
      <x:c r="L2" s="15" t="str">
        <x:v>Test Cases เฉพาะโมบาย จำนวน 96 รายการ | กรอกผลในคอลัมน์ Actual Result, Status, Severity และ Defect ID</x:v>
      </x:c>
      <x:c r="M2" s="15" t="str">
        <x:v>Test Cases เฉพาะโมบาย จำนวน 96 รายการ | กรอกผลในคอลัมน์ Actual Result, Status, Severity และ Defect ID</x:v>
      </x:c>
      <x:c r="N2" s="15" t="str">
        <x:v>Test Cases เฉพาะโมบาย จำนวน 96 รายการ | กรอกผลในคอลัมน์ Actual Result, Status, Severity และ Defect ID</x:v>
      </x:c>
      <x:c r="O2" s="15" t="str">
        <x:v>Test Cases เฉพาะโมบาย จำนวน 96 รายการ | กรอกผลในคอลัมน์ Actual Result, Status, Severity และ Defect ID</x:v>
      </x:c>
      <x:c r="P2" s="15" t="str">
        <x:v>Test Cases เฉพาะโมบาย จำนวน 96 รายการ | กรอกผลในคอลัมน์ Actual Result, Status, Severity และ Defect ID</x:v>
      </x:c>
      <x:c r="Q2" s="15" t="str">
        <x:v>Test Cases เฉพาะโมบาย จำนวน 96 รายการ | กรอกผลในคอลัมน์ Actual Result, Status, Severity และ Defect ID</x:v>
      </x:c>
      <x:c r="R2" s="15" t="str">
        <x:v>Test Cases เฉพาะโมบาย จำนวน 96 รายการ | กรอกผลในคอลัมน์ Actual Result, Status, Severity และ Defect ID</x:v>
      </x:c>
      <x:c r="S2" s="15" t="str">
        <x:v>Test Cases เฉพาะโมบาย จำนวน 96 รายการ | กรอกผลในคอลัมน์ Actual Result, Status, Severity และ Defect ID</x:v>
      </x:c>
    </x:row>
    <x:row r="3">
      <x:c r="A3" s="111" t="str">
        <x:v>ทั้งหมด</x:v>
      </x:c>
      <x:c r="B3" s="111" t="n">
        <x:v>96</x:v>
      </x:c>
      <x:c r="C3" s="111" t="str">
        <x:v>ผ่าน</x:v>
      </x:c>
      <x:c r="D3" s="111" t="n">
        <x:f>COUNTIF(N7:N102,"Pass")</x:f>
        <x:v>0</x:v>
      </x:c>
      <x:c r="E3" s="111" t="str">
        <x:v>ไม่ผ่าน</x:v>
      </x:c>
      <x:c r="F3" s="111" t="n">
        <x:f>COUNTIF(N7:N102,"Fail")</x:f>
        <x:v>0</x:v>
      </x:c>
      <x:c r="G3" s="111" t="str">
        <x:v>Blocked</x:v>
      </x:c>
      <x:c r="H3" s="111" t="n">
        <x:f>COUNTIF(N7:N102,"Blocked")</x:f>
        <x:v>0</x:v>
      </x:c>
      <x:c r="J3" s="125" t="str">
        <x:v>วิธีใช้: กรอกผลจริง → เลือก Status → ถ้า Fail ระบุ Severity/Defect ID → แนบหลักฐานใน Notes</x:v>
      </x:c>
      <x:c r="K3" s="126" t="str">
        <x:v>วิธีใช้: กรอกผลจริง → เลือก Status → ถ้า Fail ระบุ Severity/Defect ID → แนบหลักฐานใน Notes</x:v>
      </x:c>
      <x:c r="L3" s="126" t="str">
        <x:v>วิธีใช้: กรอกผลจริง → เลือก Status → ถ้า Fail ระบุ Severity/Defect ID → แนบหลักฐานใน Notes</x:v>
      </x:c>
      <x:c r="M3" s="126" t="str">
        <x:v>วิธีใช้: กรอกผลจริง → เลือก Status → ถ้า Fail ระบุ Severity/Defect ID → แนบหลักฐานใน Notes</x:v>
      </x:c>
      <x:c r="N3" s="126" t="str">
        <x:v>วิธีใช้: กรอกผลจริง → เลือก Status → ถ้า Fail ระบุ Severity/Defect ID → แนบหลักฐานใน Notes</x:v>
      </x:c>
      <x:c r="O3" s="126" t="str">
        <x:v>วิธีใช้: กรอกผลจริง → เลือก Status → ถ้า Fail ระบุ Severity/Defect ID → แนบหลักฐานใน Notes</x:v>
      </x:c>
      <x:c r="P3" s="126" t="str">
        <x:v>วิธีใช้: กรอกผลจริง → เลือก Status → ถ้า Fail ระบุ Severity/Defect ID → แนบหลักฐานใน Notes</x:v>
      </x:c>
      <x:c r="Q3" s="126" t="str">
        <x:v>วิธีใช้: กรอกผลจริง → เลือก Status → ถ้า Fail ระบุ Severity/Defect ID → แนบหลักฐานใน Notes</x:v>
      </x:c>
      <x:c r="R3" s="126" t="str">
        <x:v>วิธีใช้: กรอกผลจริง → เลือก Status → ถ้า Fail ระบุ Severity/Defect ID → แนบหลักฐานใน Notes</x:v>
      </x:c>
      <x:c r="S3" s="127" t="str">
        <x:v>วิธีใช้: กรอกผลจริง → เลือก Status → ถ้า Fail ระบุ Severity/Defect ID → แนบหลักฐานใน Notes</x:v>
      </x:c>
    </x:row>
    <x:row r="4">
      <x:c r="J4" s="128" t="str">
        <x:v>วิธีใช้: กรอกผลจริง → เลือก Status → ถ้า Fail ระบุ Severity/Defect ID → แนบหลักฐานใน Notes</x:v>
      </x:c>
      <x:c r="K4" s="129" t="str">
        <x:v>วิธีใช้: กรอกผลจริง → เลือก Status → ถ้า Fail ระบุ Severity/Defect ID → แนบหลักฐานใน Notes</x:v>
      </x:c>
      <x:c r="L4" s="129" t="str">
        <x:v>วิธีใช้: กรอกผลจริง → เลือก Status → ถ้า Fail ระบุ Severity/Defect ID → แนบหลักฐานใน Notes</x:v>
      </x:c>
      <x:c r="M4" s="129" t="str">
        <x:v>วิธีใช้: กรอกผลจริง → เลือก Status → ถ้า Fail ระบุ Severity/Defect ID → แนบหลักฐานใน Notes</x:v>
      </x:c>
      <x:c r="N4" s="129" t="str">
        <x:v>วิธีใช้: กรอกผลจริง → เลือก Status → ถ้า Fail ระบุ Severity/Defect ID → แนบหลักฐานใน Notes</x:v>
      </x:c>
      <x:c r="O4" s="129" t="str">
        <x:v>วิธีใช้: กรอกผลจริง → เลือก Status → ถ้า Fail ระบุ Severity/Defect ID → แนบหลักฐานใน Notes</x:v>
      </x:c>
      <x:c r="P4" s="129" t="str">
        <x:v>วิธีใช้: กรอกผลจริง → เลือก Status → ถ้า Fail ระบุ Severity/Defect ID → แนบหลักฐานใน Notes</x:v>
      </x:c>
      <x:c r="Q4" s="129" t="str">
        <x:v>วิธีใช้: กรอกผลจริง → เลือก Status → ถ้า Fail ระบุ Severity/Defect ID → แนบหลักฐานใน Notes</x:v>
      </x:c>
      <x:c r="R4" s="129" t="str">
        <x:v>วิธีใช้: กรอกผลจริง → เลือก Status → ถ้า Fail ระบุ Severity/Defect ID → แนบหลักฐานใน Notes</x:v>
      </x:c>
      <x:c r="S4" s="130" t="str">
        <x:v>วิธีใช้: กรอกผลจริง → เลือก Status → ถ้า Fail ระบุ Severity/Defect ID → แนบหลักฐานใน Notes</x:v>
      </x:c>
    </x:row>
    <x:row r="6" ht="36" customHeight="1">
      <x:c r="A6" s="41" t="str">
        <x:v>Test Case ID</x:v>
      </x:c>
      <x:c r="B6" s="41" t="str">
        <x:v>Requirement ID</x:v>
      </x:c>
      <x:c r="C6" s="41" t="str">
        <x:v>หน้า</x:v>
      </x:c>
      <x:c r="D6" s="41" t="str">
        <x:v>ฟังก์ชัน/โมดูล</x:v>
      </x:c>
      <x:c r="E6" s="41" t="str">
        <x:v>ประเภทการทดสอบ</x:v>
      </x:c>
      <x:c r="F6" s="41" t="str">
        <x:v>Priority</x:v>
      </x:c>
      <x:c r="G6" s="41" t="str">
        <x:v>เงื่อนไขก่อนทดสอบ</x:v>
      </x:c>
      <x:c r="H6" s="41" t="str">
        <x:v>ขั้นตอนทดสอบ</x:v>
      </x:c>
      <x:c r="I6" s="41" t="str">
        <x:v>ข้อมูลทดสอบ</x:v>
      </x:c>
      <x:c r="J6" s="41" t="str">
        <x:v>ผลลัพธ์ที่คาดหวัง</x:v>
      </x:c>
      <x:c r="K6" s="41" t="str">
        <x:v>API / จุดเชื่อมต่อ</x:v>
      </x:c>
      <x:c r="L6" s="41" t="str">
        <x:v>สภาพแวดล้อม</x:v>
      </x:c>
      <x:c r="M6" s="41" t="str">
        <x:v>ผลที่เกิดขึ้นจริง</x:v>
      </x:c>
      <x:c r="N6" s="41" t="str">
        <x:v>สถานะ</x:v>
      </x:c>
      <x:c r="O6" s="41" t="str">
        <x:v>Severity (เมื่อ Fail)</x:v>
      </x:c>
      <x:c r="P6" s="41" t="str">
        <x:v>Defect ID</x:v>
      </x:c>
      <x:c r="Q6" s="41" t="str">
        <x:v>ผู้ทดสอบ</x:v>
      </x:c>
      <x:c r="R6" s="41" t="str">
        <x:v>วันที่ทดสอบ</x:v>
      </x:c>
      <x:c r="S6" s="41" t="str">
        <x:v>หมายเหตุ</x:v>
      </x:c>
    </x:row>
    <x:row r="7" ht="58" customHeight="1">
      <x:c r="A7" s="141" t="str">
        <x:v>MB-001</x:v>
      </x:c>
      <x:c r="B7" s="141" t="str">
        <x:v>REQ-MB-LOGIN</x:v>
      </x:c>
      <x:c r="C7" s="141" t="str">
        <x:v>Login</x:v>
      </x:c>
      <x:c r="D7" s="141" t="str">
        <x:v>หน้าตาและขนาดจอ</x:v>
      </x:c>
      <x:c r="E7" s="141" t="str">
        <x:v>UI/UX</x:v>
      </x:c>
      <x:c r="F7" s="141" t="str">
        <x:v>P1-High</x:v>
      </x:c>
      <x:c r="G7" s="138" t="str">
        <x:v>เปิดแอปโดยไม่มี session</x:v>
      </x:c>
      <x:c r="H7" s="138" t="str">
        <x:v>เปิด Login บนหลายขนาดและแนวนอน</x:v>
      </x:c>
      <x:c r="I7" s="138" t="str">
        <x:v>360x640, 390x844, 412x915</x:v>
      </x:c>
      <x:c r="J7" s="138" t="str">
        <x:v>ตรง baseline ไม่ overflow; keyboard เปิดแล้วยังเข้าถึงปุ่มได้</x:v>
      </x:c>
      <x:c r="K7" s="138" t="str">
        <x:v>-</x:v>
      </x:c>
      <x:c r="L7" s="138" t="str">
        <x:v>Android/iOS phone</x:v>
      </x:c>
      <x:c r="M7" s="144"/>
      <x:c r="N7" s="144" t="str">
        <x:v>Not Run</x:v>
      </x:c>
      <x:c r="O7" s="144"/>
      <x:c r="P7" s="144"/>
      <x:c r="Q7" s="144"/>
      <x:c r="R7" s="147"/>
      <x:c r="S7" s="144"/>
    </x:row>
    <x:row r="8" ht="58" customHeight="1">
      <x:c r="A8" s="142" t="str">
        <x:v>MB-002</x:v>
      </x:c>
      <x:c r="B8" s="142" t="str">
        <x:v>REQ-MB-LOGIN</x:v>
      </x:c>
      <x:c r="C8" s="142" t="str">
        <x:v>Login</x:v>
      </x:c>
      <x:c r="D8" s="142" t="str">
        <x:v>Required/ขั้นต่ำ</x:v>
      </x:c>
      <x:c r="E8" s="142" t="str">
        <x:v>Validation</x:v>
      </x:c>
      <x:c r="F8" s="142" t="str">
        <x:v>P0-Critical</x:v>
      </x:c>
      <x:c r="G8" s="139" t="str">
        <x:v>อยู่หน้า Login</x:v>
      </x:c>
      <x:c r="H8" s="139" t="str">
        <x:v>ส่งค่าว่างและค่าที่สั้นเกิน</x:v>
      </x:c>
      <x:c r="I8" s="139" t="str">
        <x:v>empty, a/1</x:v>
      </x:c>
      <x:c r="J8" s="139" t="str">
        <x:v>ข้อความ validation ตรงกับ Web และการ์ดขยายโดยไม่ overflow</x:v>
      </x:c>
      <x:c r="K8" s="139" t="str">
        <x:v>POST /auth/login</x:v>
      </x:c>
      <x:c r="L8" s="139" t="str">
        <x:v>Android/iOS phone</x:v>
      </x:c>
      <x:c r="M8" s="145"/>
      <x:c r="N8" s="145" t="str">
        <x:v>Not Run</x:v>
      </x:c>
      <x:c r="O8" s="145"/>
      <x:c r="P8" s="145"/>
      <x:c r="Q8" s="145"/>
      <x:c r="R8" s="148"/>
      <x:c r="S8" s="145"/>
    </x:row>
    <x:row r="9" ht="58" customHeight="1">
      <x:c r="A9" s="142" t="str">
        <x:v>MB-003</x:v>
      </x:c>
      <x:c r="B9" s="142" t="str">
        <x:v>REQ-MB-LOGIN</x:v>
      </x:c>
      <x:c r="C9" s="142" t="str">
        <x:v>Login</x:v>
      </x:c>
      <x:c r="D9" s="142" t="str">
        <x:v>แสดง/ซ่อน Password</x:v>
      </x:c>
      <x:c r="E9" s="142" t="str">
        <x:v>Functional</x:v>
      </x:c>
      <x:c r="F9" s="142" t="str">
        <x:v>P2-Medium</x:v>
      </x:c>
      <x:c r="G9" s="139" t="str">
        <x:v>กรอกรหัสผ่าน</x:v>
      </x:c>
      <x:c r="H9" s="139" t="str">
        <x:v>แตะ eye icon 2 ครั้ง</x:v>
      </x:c>
      <x:c r="I9" s="139" t="str">
        <x:v>Qa@123456</x:v>
      </x:c>
      <x:c r="J9" s="139" t="str">
        <x:v>สลับ obscure โดยค่าและ cursor ไม่หาย</x:v>
      </x:c>
      <x:c r="K9" s="139" t="str">
        <x:v>-</x:v>
      </x:c>
      <x:c r="L9" s="139" t="str">
        <x:v>ทุกขนาดที่รองรับ</x:v>
      </x:c>
      <x:c r="M9" s="145"/>
      <x:c r="N9" s="145" t="str">
        <x:v>Not Run</x:v>
      </x:c>
      <x:c r="O9" s="145"/>
      <x:c r="P9" s="145"/>
      <x:c r="Q9" s="145"/>
      <x:c r="R9" s="148"/>
      <x:c r="S9" s="145"/>
    </x:row>
    <x:row r="10" ht="58" customHeight="1">
      <x:c r="A10" s="142" t="str">
        <x:v>MB-004</x:v>
      </x:c>
      <x:c r="B10" s="142" t="str">
        <x:v>REQ-MB-LOGIN</x:v>
      </x:c>
      <x:c r="C10" s="142" t="str">
        <x:v>Login</x:v>
      </x:c>
      <x:c r="D10" s="142" t="str">
        <x:v>ล็อกอินและจำ session</x:v>
      </x:c>
      <x:c r="E10" s="142" t="str">
        <x:v>End-to-End</x:v>
      </x:c>
      <x:c r="F10" s="142" t="str">
        <x:v>P0-Critical</x:v>
      </x:c>
      <x:c r="G10" s="139" t="str">
        <x:v>มีบัญชี valid</x:v>
      </x:c>
      <x:c r="H10" s="139" t="str">
        <x:v>ล็อกอิน ปิดแอป เปิดใหม่</x:v>
      </x:c>
      <x:c r="I10" s="139" t="str">
        <x:v>USER_VALID</x:v>
      </x:c>
      <x:c r="J10" s="139" t="str">
        <x:v>เข้า Main และ session/access+refresh token อยู่ใน secure storage</x:v>
      </x:c>
      <x:c r="K10" s="139" t="str">
        <x:v>POST login; secure storage</x:v>
      </x:c>
      <x:c r="L10" s="139" t="str">
        <x:v>Android/iOS phone</x:v>
      </x:c>
      <x:c r="M10" s="145"/>
      <x:c r="N10" s="145" t="str">
        <x:v>Not Run</x:v>
      </x:c>
      <x:c r="O10" s="145"/>
      <x:c r="P10" s="145"/>
      <x:c r="Q10" s="145"/>
      <x:c r="R10" s="148"/>
      <x:c r="S10" s="145"/>
    </x:row>
    <x:row r="11" ht="58" customHeight="1">
      <x:c r="A11" s="142" t="str">
        <x:v>MB-005</x:v>
      </x:c>
      <x:c r="B11" s="142" t="str">
        <x:v>REQ-MB-LOGIN</x:v>
      </x:c>
      <x:c r="C11" s="142" t="str">
        <x:v>Login</x:v>
      </x:c>
      <x:c r="D11" s="142" t="str">
        <x:v>Login fail</x:v>
      </x:c>
      <x:c r="E11" s="142" t="str">
        <x:v>Negative</x:v>
      </x:c>
      <x:c r="F11" s="142" t="str">
        <x:v>P0-Critical</x:v>
      </x:c>
      <x:c r="G11" s="139" t="str">
        <x:v>มีบัญชี</x:v>
      </x:c>
      <x:c r="H11" s="139" t="str">
        <x:v>กรอกรหัสผิด</x:v>
      </x:c>
      <x:c r="I11" s="139" t="str">
        <x:v>USER_INVALID_PASSWORD</x:v>
      </x:c>
      <x:c r="J11" s="139" t="str">
        <x:v>แสดงข้อความ Backend ภาษาไทย ไม่ปิดแอป และปุ่มกลับมาแตะได้</x:v>
      </x:c>
      <x:c r="K11" s="139" t="str">
        <x:v>POST login</x:v>
      </x:c>
      <x:c r="L11" s="139" t="str">
        <x:v>Android/iOS phone</x:v>
      </x:c>
      <x:c r="M11" s="145"/>
      <x:c r="N11" s="145" t="str">
        <x:v>Not Run</x:v>
      </x:c>
      <x:c r="O11" s="145"/>
      <x:c r="P11" s="145"/>
      <x:c r="Q11" s="145"/>
      <x:c r="R11" s="148"/>
      <x:c r="S11" s="145"/>
    </x:row>
    <x:row r="12" ht="58" customHeight="1">
      <x:c r="A12" s="142" t="str">
        <x:v>MB-006</x:v>
      </x:c>
      <x:c r="B12" s="142" t="str">
        <x:v>REQ-MB-LOGIN</x:v>
      </x:c>
      <x:c r="C12" s="142" t="str">
        <x:v>Login</x:v>
      </x:c>
      <x:c r="D12" s="142" t="str">
        <x:v>Refresh token</x:v>
      </x:c>
      <x:c r="E12" s="142" t="str">
        <x:v>Security</x:v>
      </x:c>
      <x:c r="F12" s="142" t="str">
        <x:v>P0-Critical</x:v>
      </x:c>
      <x:c r="G12" s="139" t="str">
        <x:v>access token หมดอายุ</x:v>
      </x:c>
      <x:c r="H12" s="139" t="str">
        <x:v>เปิด Main/เรียก API</x:v>
      </x:c>
      <x:c r="I12" s="139" t="str">
        <x:v>Valid/invalid refresh token</x:v>
      </x:c>
      <x:c r="J12" s="139" t="str">
        <x:v>refresh สำเร็จโดยผู้ใช้ไม่หลุด; ถ้าล้มเหลวล้าง session กลับ Login</x:v>
      </x:c>
      <x:c r="K12" s="139" t="str">
        <x:v>POST refresh</x:v>
      </x:c>
      <x:c r="L12" s="139" t="str">
        <x:v>Android/iOS phone</x:v>
      </x:c>
      <x:c r="M12" s="145"/>
      <x:c r="N12" s="145" t="str">
        <x:v>Not Run</x:v>
      </x:c>
      <x:c r="O12" s="145"/>
      <x:c r="P12" s="145"/>
      <x:c r="Q12" s="145"/>
      <x:c r="R12" s="148"/>
      <x:c r="S12" s="145"/>
    </x:row>
    <x:row r="13" ht="58" customHeight="1">
      <x:c r="A13" s="142" t="str">
        <x:v>MB-007</x:v>
      </x:c>
      <x:c r="B13" s="142" t="str">
        <x:v>REQ-MB-LOGIN</x:v>
      </x:c>
      <x:c r="C13" s="142" t="str">
        <x:v>Login</x:v>
      </x:c>
      <x:c r="D13" s="142" t="str">
        <x:v>ไป Sign up</x:v>
      </x:c>
      <x:c r="E13" s="142" t="str">
        <x:v>Navigation</x:v>
      </x:c>
      <x:c r="F13" s="142" t="str">
        <x:v>P1-High</x:v>
      </x:c>
      <x:c r="G13" s="139" t="str">
        <x:v>อยู่ Login</x:v>
      </x:c>
      <x:c r="H13" s="139" t="str">
        <x:v>แตะ Sign up แล้วกด Back</x:v>
      </x:c>
      <x:c r="I13" s="139" t="str">
        <x:v>-</x:v>
      </x:c>
      <x:c r="J13" s="139" t="str">
        <x:v>ไป SignIn และย้อนกลับถูก route ไม่มี animation เด้ง</x:v>
      </x:c>
      <x:c r="K13" s="139" t="str">
        <x:v>-</x:v>
      </x:c>
      <x:c r="L13" s="139" t="str">
        <x:v>ทุกขนาดที่รองรับ</x:v>
      </x:c>
      <x:c r="M13" s="145"/>
      <x:c r="N13" s="145" t="str">
        <x:v>Not Run</x:v>
      </x:c>
      <x:c r="O13" s="145"/>
      <x:c r="P13" s="145"/>
      <x:c r="Q13" s="145"/>
      <x:c r="R13" s="148"/>
      <x:c r="S13" s="145"/>
    </x:row>
    <x:row r="14" ht="58" customHeight="1">
      <x:c r="A14" s="142" t="str">
        <x:v>MB-008</x:v>
      </x:c>
      <x:c r="B14" s="142" t="str">
        <x:v>REQ-MB-LOGIN</x:v>
      </x:c>
      <x:c r="C14" s="142" t="str">
        <x:v>Login</x:v>
      </x:c>
      <x:c r="D14" s="142" t="str">
        <x:v>ป้องกันกดซ้ำ</x:v>
      </x:c>
      <x:c r="E14" s="142" t="str">
        <x:v>Reliability</x:v>
      </x:c>
      <x:c r="F14" s="142" t="str">
        <x:v>P1-High</x:v>
      </x:c>
      <x:c r="G14" s="139" t="str">
        <x:v>กรอก valid</x:v>
      </x:c>
      <x:c r="H14" s="139" t="str">
        <x:v>แตะ Login เร็วหลายครั้ง</x:v>
      </x:c>
      <x:c r="I14" s="139" t="str">
        <x:v>Double tap</x:v>
      </x:c>
      <x:c r="J14" s="139" t="str">
        <x:v>ส่ง request เดียว แสดง loading และไม่เปิด Main ซ้ำ</x:v>
      </x:c>
      <x:c r="K14" s="139" t="str">
        <x:v>-</x:v>
      </x:c>
      <x:c r="L14" s="139" t="str">
        <x:v>ทุกขนาดที่รองรับ</x:v>
      </x:c>
      <x:c r="M14" s="145"/>
      <x:c r="N14" s="145" t="str">
        <x:v>Not Run</x:v>
      </x:c>
      <x:c r="O14" s="145"/>
      <x:c r="P14" s="145"/>
      <x:c r="Q14" s="145"/>
      <x:c r="R14" s="148"/>
      <x:c r="S14" s="145"/>
    </x:row>
    <x:row r="15" ht="58" customHeight="1">
      <x:c r="A15" s="142" t="str">
        <x:v>MB-009</x:v>
      </x:c>
      <x:c r="B15" s="142" t="str">
        <x:v>REQ-MB-SIGNIN</x:v>
      </x:c>
      <x:c r="C15" s="142" t="str">
        <x:v>SignIn</x:v>
      </x:c>
      <x:c r="D15" s="142" t="str">
        <x:v>Layout/Scroll/Keyboard</x:v>
      </x:c>
      <x:c r="E15" s="142" t="str">
        <x:v>Compatibility</x:v>
      </x:c>
      <x:c r="F15" s="142" t="str">
        <x:v>P1-High</x:v>
      </x:c>
      <x:c r="G15" s="139" t="str">
        <x:v>ไม่มี session</x:v>
      </x:c>
      <x:c r="H15" s="139" t="str">
        <x:v>เปิด SignIn เลื่อนหน้า เปิด keyboard และ dropdown</x:v>
      </x:c>
      <x:c r="I15" s="139" t="str">
        <x:v>Small phone</x:v>
      </x:c>
      <x:c r="J15" s="139" t="str">
        <x:v>ฟอร์มเข้าถึงครบ overlay dropdown ติดกับช่องแม้หน้า scroll</x:v>
      </x:c>
      <x:c r="K15" s="139" t="str">
        <x:v>-</x:v>
      </x:c>
      <x:c r="L15" s="139" t="str">
        <x:v>360x640 Android/iOS</x:v>
      </x:c>
      <x:c r="M15" s="145"/>
      <x:c r="N15" s="145" t="str">
        <x:v>Not Run</x:v>
      </x:c>
      <x:c r="O15" s="145"/>
      <x:c r="P15" s="145"/>
      <x:c r="Q15" s="145"/>
      <x:c r="R15" s="148"/>
      <x:c r="S15" s="145"/>
    </x:row>
    <x:row r="16" ht="58" customHeight="1">
      <x:c r="A16" s="142" t="str">
        <x:v>MB-010</x:v>
      </x:c>
      <x:c r="B16" s="142" t="str">
        <x:v>REQ-MB-SIGNIN</x:v>
      </x:c>
      <x:c r="C16" s="142" t="str">
        <x:v>SignIn</x:v>
      </x:c>
      <x:c r="D16" s="142" t="str">
        <x:v>Account validation</x:v>
      </x:c>
      <x:c r="E16" s="142" t="str">
        <x:v>Validation</x:v>
      </x:c>
      <x:c r="F16" s="142" t="str">
        <x:v>P0-Critical</x:v>
      </x:c>
      <x:c r="G16" s="139" t="str">
        <x:v>อยู่หน้า SignIn</x:v>
      </x:c>
      <x:c r="H16" s="139" t="str">
        <x:v>เว้นค่า/รหัสไม่ตรง/สั้นเกิน</x:v>
      </x:c>
      <x:c r="I16" s="139" t="str">
        <x:v>Invalid account fields</x:v>
      </x:c>
      <x:c r="J16" s="139" t="str">
        <x:v>แจ้งเหมือน Web และไม่เรียก API</x:v>
      </x:c>
      <x:c r="K16" s="139" t="str">
        <x:v>-</x:v>
      </x:c>
      <x:c r="L16" s="139" t="str">
        <x:v>ทุกขนาดที่รองรับ</x:v>
      </x:c>
      <x:c r="M16" s="145"/>
      <x:c r="N16" s="145" t="str">
        <x:v>Not Run</x:v>
      </x:c>
      <x:c r="O16" s="145"/>
      <x:c r="P16" s="145"/>
      <x:c r="Q16" s="145"/>
      <x:c r="R16" s="148"/>
      <x:c r="S16" s="145"/>
    </x:row>
    <x:row r="17" ht="58" customHeight="1">
      <x:c r="A17" s="142" t="str">
        <x:v>MB-011</x:v>
      </x:c>
      <x:c r="B17" s="142" t="str">
        <x:v>REQ-MB-SIGNIN</x:v>
      </x:c>
      <x:c r="C17" s="142" t="str">
        <x:v>SignIn</x:v>
      </x:c>
      <x:c r="D17" s="142" t="str">
        <x:v>Username ซ้ำ</x:v>
      </x:c>
      <x:c r="E17" s="142" t="str">
        <x:v>Integration</x:v>
      </x:c>
      <x:c r="F17" s="142" t="str">
        <x:v>P0-Critical</x:v>
      </x:c>
      <x:c r="G17" s="139" t="str">
        <x:v>มี username เดิม</x:v>
      </x:c>
      <x:c r="H17" s="139" t="str">
        <x:v>ส่งข้อมูลครบด้วย username ซ้ำ</x:v>
      </x:c>
      <x:c r="I17" s="139" t="str">
        <x:v>USER_DUPLICATE</x:v>
      </x:c>
      <x:c r="J17" s="139" t="str">
        <x:v>popup ภาษาไทยชัดเจนและข้อมูลยังอยู่</x:v>
      </x:c>
      <x:c r="K17" s="139" t="str">
        <x:v>POST register</x:v>
      </x:c>
      <x:c r="L17" s="139" t="str">
        <x:v>ทุกขนาดที่รองรับ</x:v>
      </x:c>
      <x:c r="M17" s="145"/>
      <x:c r="N17" s="145" t="str">
        <x:v>Not Run</x:v>
      </x:c>
      <x:c r="O17" s="145"/>
      <x:c r="P17" s="145"/>
      <x:c r="Q17" s="145"/>
      <x:c r="R17" s="148"/>
      <x:c r="S17" s="145"/>
    </x:row>
    <x:row r="18" ht="58" customHeight="1">
      <x:c r="A18" s="142" t="str">
        <x:v>MB-012</x:v>
      </x:c>
      <x:c r="B18" s="142" t="str">
        <x:v>REQ-MB-SIGNIN</x:v>
      </x:c>
      <x:c r="C18" s="142" t="str">
        <x:v>SignIn</x:v>
      </x:c>
      <x:c r="D18" s="142" t="str">
        <x:v>Custom Gender dropdown</x:v>
      </x:c>
      <x:c r="E18" s="142" t="str">
        <x:v>UI/UX</x:v>
      </x:c>
      <x:c r="F18" s="142" t="str">
        <x:v>P1-High</x:v>
      </x:c>
      <x:c r="G18" s="139" t="str">
        <x:v>อยู่ส่วน Profile</x:v>
      </x:c>
      <x:c r="H18" s="139" t="str">
        <x:v>เปิด เลื่อนหน้า เลือกทุกค่า</x:v>
      </x:c>
      <x:c r="I18" s="139" t="str">
        <x:v>Gender options</x:v>
      </x:c>
      <x:c r="J18" s="139" t="str">
        <x:v>overlay ติด anchor รายการไม่มีขอบโค้งเกินแบบ selected/pressed ชัด</x:v>
      </x:c>
      <x:c r="K18" s="139" t="str">
        <x:v>-</x:v>
      </x:c>
      <x:c r="L18" s="139" t="str">
        <x:v>ทุกขนาดที่รองรับ</x:v>
      </x:c>
      <x:c r="M18" s="145"/>
      <x:c r="N18" s="145" t="str">
        <x:v>Not Run</x:v>
      </x:c>
      <x:c r="O18" s="145"/>
      <x:c r="P18" s="145"/>
      <x:c r="Q18" s="145"/>
      <x:c r="R18" s="148"/>
      <x:c r="S18" s="145"/>
    </x:row>
    <x:row r="19" ht="58" customHeight="1">
      <x:c r="A19" s="142" t="str">
        <x:v>MB-013</x:v>
      </x:c>
      <x:c r="B19" s="142" t="str">
        <x:v>REQ-MB-SIGNIN</x:v>
      </x:c>
      <x:c r="C19" s="142" t="str">
        <x:v>SignIn</x:v>
      </x:c>
      <x:c r="D19" s="142" t="str">
        <x:v>Date picker</x:v>
      </x:c>
      <x:c r="E19" s="142" t="str">
        <x:v>Functional</x:v>
      </x:c>
      <x:c r="F19" s="142" t="str">
        <x:v>P1-High</x:v>
      </x:c>
      <x:c r="G19" s="139" t="str">
        <x:v>อยู่ส่วน Profile</x:v>
      </x:c>
      <x:c r="H19" s="139" t="str">
        <x:v>เลือกวันเกิดและเปลี่ยนปี</x:v>
      </x:c>
      <x:c r="I19" s="139" t="str">
        <x:v>13/06/2006</x:v>
      </x:c>
      <x:c r="J19" s="139" t="str">
        <x:v>ปฏิทินธีมชมพู เลือกง่าย ปฏิเสธวันอนาคต และแปลง Backend ถูก</x:v>
      </x:c>
      <x:c r="K19" s="139" t="str">
        <x:v>-</x:v>
      </x:c>
      <x:c r="L19" s="139" t="str">
        <x:v>ทุกขนาดที่รองรับ</x:v>
      </x:c>
      <x:c r="M19" s="145"/>
      <x:c r="N19" s="145" t="str">
        <x:v>Not Run</x:v>
      </x:c>
      <x:c r="O19" s="145"/>
      <x:c r="P19" s="145"/>
      <x:c r="Q19" s="145"/>
      <x:c r="R19" s="148"/>
      <x:c r="S19" s="145"/>
    </x:row>
    <x:row r="20" ht="58" customHeight="1">
      <x:c r="A20" s="142" t="str">
        <x:v>MB-014</x:v>
      </x:c>
      <x:c r="B20" s="142" t="str">
        <x:v>REQ-MB-SIGNIN</x:v>
      </x:c>
      <x:c r="C20" s="142" t="str">
        <x:v>SignIn</x:v>
      </x:c>
      <x:c r="D20" s="142" t="str">
        <x:v>Constraint 24 ชั่วโมง</x:v>
      </x:c>
      <x:c r="E20" s="142" t="str">
        <x:v>Validation</x:v>
      </x:c>
      <x:c r="F20" s="142" t="str">
        <x:v>P0-Critical</x:v>
      </x:c>
      <x:c r="G20" s="139" t="str">
        <x:v>อยู่ Constraint</x:v>
      </x:c>
      <x:c r="H20" s="139" t="str">
        <x:v>เลือก work start/end หลายช่วง</x:v>
      </x:c>
      <x:c r="I20" s="139" t="str">
        <x:v>08:00-17:00; 18:00-08:00</x:v>
      </x:c>
      <x:c r="J20" s="139" t="str">
        <x:v>แสดง/ส่ง HH:mm และปฏิเสธ start &gt;= end</x:v>
      </x:c>
      <x:c r="K20" s="139" t="str">
        <x:v>POST register</x:v>
      </x:c>
      <x:c r="L20" s="139" t="str">
        <x:v>ทุกขนาดที่รองรับ</x:v>
      </x:c>
      <x:c r="M20" s="145"/>
      <x:c r="N20" s="145" t="str">
        <x:v>Not Run</x:v>
      </x:c>
      <x:c r="O20" s="145"/>
      <x:c r="P20" s="145"/>
      <x:c r="Q20" s="145"/>
      <x:c r="R20" s="148"/>
      <x:c r="S20" s="145"/>
    </x:row>
    <x:row r="21" ht="58" customHeight="1">
      <x:c r="A21" s="142" t="str">
        <x:v>MB-015</x:v>
      </x:c>
      <x:c r="B21" s="142" t="str">
        <x:v>REQ-MB-SIGNIN</x:v>
      </x:c>
      <x:c r="C21" s="142" t="str">
        <x:v>SignIn</x:v>
      </x:c>
      <x:c r="D21" s="142" t="str">
        <x:v>Busy day dropdown ครบ</x:v>
      </x:c>
      <x:c r="E21" s="142" t="str">
        <x:v>Functional</x:v>
      </x:c>
      <x:c r="F21" s="142" t="str">
        <x:v>P1-High</x:v>
      </x:c>
      <x:c r="G21" s="139" t="str">
        <x:v>เปิด Busy Day modal</x:v>
      </x:c>
      <x:c r="H21" s="139" t="str">
        <x:v>เปิด Day และ Time dropdown แล้ว scroll รายการ</x:v>
      </x:c>
      <x:c r="I21" s="139" t="str">
        <x:v>Mon-Sun, 00:00-23:59</x:v>
      </x:c>
      <x:c r="J21" s="139" t="str">
        <x:v>วันเห็นครบ; เวลาเลื่อนได้ถึงทุกตัวเลือกโดย modal ไม่แย่ง gesture</x:v>
      </x:c>
      <x:c r="K21" s="139" t="str">
        <x:v>-</x:v>
      </x:c>
      <x:c r="L21" s="139" t="str">
        <x:v>ทุกขนาดที่รองรับ</x:v>
      </x:c>
      <x:c r="M21" s="145"/>
      <x:c r="N21" s="145" t="str">
        <x:v>Not Run</x:v>
      </x:c>
      <x:c r="O21" s="145"/>
      <x:c r="P21" s="145"/>
      <x:c r="Q21" s="145"/>
      <x:c r="R21" s="148"/>
      <x:c r="S21" s="145"/>
    </x:row>
    <x:row r="22" ht="58" customHeight="1">
      <x:c r="A22" s="142" t="str">
        <x:v>MB-016</x:v>
      </x:c>
      <x:c r="B22" s="142" t="str">
        <x:v>REQ-MB-SIGNIN</x:v>
      </x:c>
      <x:c r="C22" s="142" t="str">
        <x:v>SignIn</x:v>
      </x:c>
      <x:c r="D22" s="142" t="str">
        <x:v>เพิ่ม Busy day</x:v>
      </x:c>
      <x:c r="E22" s="142" t="str">
        <x:v>Functional</x:v>
      </x:c>
      <x:c r="F22" s="142" t="str">
        <x:v>P1-High</x:v>
      </x:c>
      <x:c r="G22" s="139" t="str">
        <x:v>เปิด modal</x:v>
      </x:c>
      <x:c r="H22" s="139" t="str">
        <x:v>เพิ่ม 2 รายการและลบ 1 รายการ</x:v>
      </x:c>
      <x:c r="I22" s="139" t="str">
        <x:v>Mon 09:00-10:00, Sun 20:00-22:00</x:v>
      </x:c>
      <x:c r="J22" s="139" t="str">
        <x:v>รายการใหม่ขึ้นบนสุด สีวันถูก และลบเฉพาะรายการที่เลือก</x:v>
      </x:c>
      <x:c r="K22" s="139" t="str">
        <x:v>-</x:v>
      </x:c>
      <x:c r="L22" s="139" t="str">
        <x:v>ทุกขนาดที่รองรับ</x:v>
      </x:c>
      <x:c r="M22" s="145"/>
      <x:c r="N22" s="145" t="str">
        <x:v>Not Run</x:v>
      </x:c>
      <x:c r="O22" s="145"/>
      <x:c r="P22" s="145"/>
      <x:c r="Q22" s="145"/>
      <x:c r="R22" s="148"/>
      <x:c r="S22" s="145"/>
    </x:row>
    <x:row r="23" ht="58" customHeight="1">
      <x:c r="A23" s="142" t="str">
        <x:v>MB-017</x:v>
      </x:c>
      <x:c r="B23" s="142" t="str">
        <x:v>REQ-MB-SIGNIN</x:v>
      </x:c>
      <x:c r="C23" s="142" t="str">
        <x:v>SignIn</x:v>
      </x:c>
      <x:c r="D23" s="142" t="str">
        <x:v>Busy day validation</x:v>
      </x:c>
      <x:c r="E23" s="142" t="str">
        <x:v>Validation</x:v>
      </x:c>
      <x:c r="F23" s="142" t="str">
        <x:v>P0-Critical</x:v>
      </x:c>
      <x:c r="G23" s="139" t="str">
        <x:v>มีช่วงเดิม</x:v>
      </x:c>
      <x:c r="H23" s="139" t="str">
        <x:v>เพิ่ม end&lt;=start และช่วงทับซ้อน</x:v>
      </x:c>
      <x:c r="I23" s="139" t="str">
        <x:v>Mon 10:00-09:00; Mon 09:30-10:30</x:v>
      </x:c>
      <x:c r="J23" s="139" t="str">
        <x:v>แสดงข้อความใต้จุดที่ผิดและไม่เพิ่มรายการ</x:v>
      </x:c>
      <x:c r="K23" s="139" t="str">
        <x:v>-</x:v>
      </x:c>
      <x:c r="L23" s="139" t="str">
        <x:v>ทุกขนาดที่รองรับ</x:v>
      </x:c>
      <x:c r="M23" s="145"/>
      <x:c r="N23" s="145" t="str">
        <x:v>Not Run</x:v>
      </x:c>
      <x:c r="O23" s="145"/>
      <x:c r="P23" s="145"/>
      <x:c r="Q23" s="145"/>
      <x:c r="R23" s="148"/>
      <x:c r="S23" s="145"/>
    </x:row>
    <x:row r="24" ht="58" customHeight="1">
      <x:c r="A24" s="142" t="str">
        <x:v>MB-018</x:v>
      </x:c>
      <x:c r="B24" s="142" t="str">
        <x:v>REQ-MB-SIGNIN</x:v>
      </x:c>
      <x:c r="C24" s="142" t="str">
        <x:v>SignIn</x:v>
      </x:c>
      <x:c r="D24" s="142" t="str">
        <x:v>Submit payload</x:v>
      </x:c>
      <x:c r="E24" s="142" t="str">
        <x:v>End-to-End</x:v>
      </x:c>
      <x:c r="F24" s="142" t="str">
        <x:v>P0-Critical</x:v>
      </x:c>
      <x:c r="G24" s="139" t="str">
        <x:v>กรอกครบ</x:v>
      </x:c>
      <x:c r="H24" s="139" t="str">
        <x:v>กด Create account</x:v>
      </x:c>
      <x:c r="I24" s="139" t="str">
        <x:v>USER_NEW+constraints</x:v>
      </x:c>
      <x:c r="J24" s="139" t="str">
        <x:v>payload เท่ากับ Web สมัครสำเร็จ และ route ถูกต้อง</x:v>
      </x:c>
      <x:c r="K24" s="139" t="str">
        <x:v>POST register</x:v>
      </x:c>
      <x:c r="L24" s="139" t="str">
        <x:v>ทุกขนาดที่รองรับ</x:v>
      </x:c>
      <x:c r="M24" s="145"/>
      <x:c r="N24" s="145" t="str">
        <x:v>Not Run</x:v>
      </x:c>
      <x:c r="O24" s="145"/>
      <x:c r="P24" s="145"/>
      <x:c r="Q24" s="145"/>
      <x:c r="R24" s="148"/>
      <x:c r="S24" s="145"/>
    </x:row>
    <x:row r="25" ht="58" customHeight="1">
      <x:c r="A25" s="142" t="str">
        <x:v>MB-019</x:v>
      </x:c>
      <x:c r="B25" s="142" t="str">
        <x:v>REQ-MB-SIGNIN</x:v>
      </x:c>
      <x:c r="C25" s="142" t="str">
        <x:v>SignIn</x:v>
      </x:c>
      <x:c r="D25" s="142" t="str">
        <x:v>Network retry</x:v>
      </x:c>
      <x:c r="E25" s="142" t="str">
        <x:v>Recovery</x:v>
      </x:c>
      <x:c r="F25" s="142" t="str">
        <x:v>P1-High</x:v>
      </x:c>
      <x:c r="G25" s="139" t="str">
        <x:v>API timeout</x:v>
      </x:c>
      <x:c r="H25" s="139" t="str">
        <x:v>ส่งฟอร์มแล้วลองใหม่</x:v>
      </x:c>
      <x:c r="I25" s="139" t="str">
        <x:v>Offline/500</x:v>
      </x:c>
      <x:c r="J25" s="139" t="str">
        <x:v>ไม่ล้างข้อมูล ไม่ส่งซ้ำ และปุ่มกลับมาใช้งาน</x:v>
      </x:c>
      <x:c r="K25" s="139" t="str">
        <x:v>-</x:v>
      </x:c>
      <x:c r="L25" s="139" t="str">
        <x:v>ทุกขนาดที่รองรับ</x:v>
      </x:c>
      <x:c r="M25" s="145"/>
      <x:c r="N25" s="145" t="str">
        <x:v>Not Run</x:v>
      </x:c>
      <x:c r="O25" s="145"/>
      <x:c r="P25" s="145"/>
      <x:c r="Q25" s="145"/>
      <x:c r="R25" s="148"/>
      <x:c r="S25" s="145"/>
    </x:row>
    <x:row r="26" ht="58" customHeight="1">
      <x:c r="A26" s="142" t="str">
        <x:v>MB-020</x:v>
      </x:c>
      <x:c r="B26" s="142" t="str">
        <x:v>REQ-MB-SIGNIN</x:v>
      </x:c>
      <x:c r="C26" s="142" t="str">
        <x:v>SignIn</x:v>
      </x:c>
      <x:c r="D26" s="142" t="str">
        <x:v>Password visibility</x:v>
      </x:c>
      <x:c r="E26" s="142" t="str">
        <x:v>Functional</x:v>
      </x:c>
      <x:c r="F26" s="142" t="str">
        <x:v>P2-Medium</x:v>
      </x:c>
      <x:c r="G26" s="139" t="str">
        <x:v>กรอก Password/Confirm</x:v>
      </x:c>
      <x:c r="H26" s="139" t="str">
        <x:v>แตะ eye ของแต่ละช่อง</x:v>
      </x:c>
      <x:c r="I26" s="139" t="str">
        <x:v>Qa@123456</x:v>
      </x:c>
      <x:c r="J26" s="139" t="str">
        <x:v>แต่ละช่องสลับอิสระและค่าไม่เปลี่ยน</x:v>
      </x:c>
      <x:c r="K26" s="139" t="str">
        <x:v>-</x:v>
      </x:c>
      <x:c r="L26" s="139" t="str">
        <x:v>ทุกขนาดที่รองรับ</x:v>
      </x:c>
      <x:c r="M26" s="145"/>
      <x:c r="N26" s="145" t="str">
        <x:v>Not Run</x:v>
      </x:c>
      <x:c r="O26" s="145"/>
      <x:c r="P26" s="145"/>
      <x:c r="Q26" s="145"/>
      <x:c r="R26" s="148"/>
      <x:c r="S26" s="145"/>
    </x:row>
    <x:row r="27" ht="58" customHeight="1">
      <x:c r="A27" s="142" t="str">
        <x:v>MB-021</x:v>
      </x:c>
      <x:c r="B27" s="142" t="str">
        <x:v>REQ-MB-MAIN</x:v>
      </x:c>
      <x:c r="C27" s="142" t="str">
        <x:v>Main</x:v>
      </x:c>
      <x:c r="D27" s="142" t="str">
        <x:v>โหลดข้อมูลและ Auth guard</x:v>
      </x:c>
      <x:c r="E27" s="142" t="str">
        <x:v>End-to-End</x:v>
      </x:c>
      <x:c r="F27" s="142" t="str">
        <x:v>P0-Critical</x:v>
      </x:c>
      <x:c r="G27" s="139" t="str">
        <x:v>มี session</x:v>
      </x:c>
      <x:c r="H27" s="139" t="str">
        <x:v>เปิด Main/เปิดโดยไม่มี token</x:v>
      </x:c>
      <x:c r="I27" s="139" t="str">
        <x:v>USER_VALID/NO_TOKEN</x:v>
      </x:c>
      <x:c r="J27" s="139" t="str">
        <x:v>เมื่อ valid โหลด profile/constraint/term/schedule; เมื่อไม่มี token กลับ Login</x:v>
      </x:c>
      <x:c r="K27" s="139" t="str">
        <x:v>GET profile/constraints/term/schedule</x:v>
      </x:c>
      <x:c r="L27" s="139" t="str">
        <x:v>Android/iOS phone</x:v>
      </x:c>
      <x:c r="M27" s="145"/>
      <x:c r="N27" s="145" t="str">
        <x:v>Not Run</x:v>
      </x:c>
      <x:c r="O27" s="145"/>
      <x:c r="P27" s="145"/>
      <x:c r="Q27" s="145"/>
      <x:c r="R27" s="148"/>
      <x:c r="S27" s="145"/>
    </x:row>
    <x:row r="28" ht="58" customHeight="1">
      <x:c r="A28" s="142" t="str">
        <x:v>MB-022</x:v>
      </x:c>
      <x:c r="B28" s="142" t="str">
        <x:v>REQ-MB-MAIN</x:v>
      </x:c>
      <x:c r="C28" s="142" t="str">
        <x:v>Main</x:v>
      </x:c>
      <x:c r="D28" s="142" t="str">
        <x:v>Student card responsive</x:v>
      </x:c>
      <x:c r="E28" s="142" t="str">
        <x:v>UI/UX</x:v>
      </x:c>
      <x:c r="F28" s="142" t="str">
        <x:v>P1-High</x:v>
      </x:c>
      <x:c r="G28" s="139" t="str">
        <x:v>มี profile</x:v>
      </x:c>
      <x:c r="H28" s="139" t="str">
        <x:v>ตรวจ card บนจอเล็กและเลื่อน</x:v>
      </x:c>
      <x:c r="I28" s="139" t="str">
        <x:v>Long name/major</x:v>
      </x:c>
      <x:c r="J28" s="139" t="str">
        <x:v>ข้อมูลไม่ล้น เงาเรียบ และตำแหน่งตรงดีไซน์</x:v>
      </x:c>
      <x:c r="K28" s="139" t="str">
        <x:v>-</x:v>
      </x:c>
      <x:c r="L28" s="139" t="str">
        <x:v>ทุกขนาดที่รองรับ</x:v>
      </x:c>
      <x:c r="M28" s="145"/>
      <x:c r="N28" s="145" t="str">
        <x:v>Not Run</x:v>
      </x:c>
      <x:c r="O28" s="145"/>
      <x:c r="P28" s="145"/>
      <x:c r="Q28" s="145"/>
      <x:c r="R28" s="148"/>
      <x:c r="S28" s="145"/>
    </x:row>
    <x:row r="29" ht="58" customHeight="1">
      <x:c r="A29" s="142" t="str">
        <x:v>MB-023</x:v>
      </x:c>
      <x:c r="B29" s="142" t="str">
        <x:v>REQ-MB-MAIN</x:v>
      </x:c>
      <x:c r="C29" s="142" t="str">
        <x:v>Main</x:v>
      </x:c>
      <x:c r="D29" s="142" t="str">
        <x:v>Student popup</x:v>
      </x:c>
      <x:c r="E29" s="142" t="str">
        <x:v>Functional</x:v>
      </x:c>
      <x:c r="F29" s="142" t="str">
        <x:v>P1-High</x:v>
      </x:c>
      <x:c r="G29" s="139" t="str">
        <x:v>แตะ Student card</x:v>
      </x:c>
      <x:c r="H29" s="139" t="str">
        <x:v>สลับ Profile/Constraint และปิด</x:v>
      </x:c>
      <x:c r="I29" s="139" t="str">
        <x:v>PROFILE_COMPLETE</x:v>
      </x:c>
      <x:c r="J29" s="139" t="str">
        <x:v>popup เหมือน Web ข้อมูลครบและปิดได้ด้วยปุ่ม/Back</x:v>
      </x:c>
      <x:c r="K29" s="139" t="str">
        <x:v>-</x:v>
      </x:c>
      <x:c r="L29" s="139" t="str">
        <x:v>ทุกขนาดที่รองรับ</x:v>
      </x:c>
      <x:c r="M29" s="145"/>
      <x:c r="N29" s="145" t="str">
        <x:v>Not Run</x:v>
      </x:c>
      <x:c r="O29" s="145"/>
      <x:c r="P29" s="145"/>
      <x:c r="Q29" s="145"/>
      <x:c r="R29" s="148"/>
      <x:c r="S29" s="145"/>
    </x:row>
    <x:row r="30" ht="58" customHeight="1">
      <x:c r="A30" s="142" t="str">
        <x:v>MB-024</x:v>
      </x:c>
      <x:c r="B30" s="142" t="str">
        <x:v>REQ-MB-MAIN</x:v>
      </x:c>
      <x:c r="C30" s="142" t="str">
        <x:v>Main</x:v>
      </x:c>
      <x:c r="D30" s="142" t="str">
        <x:v>แก้ Profile</x:v>
      </x:c>
      <x:c r="E30" s="142" t="str">
        <x:v>End-to-End</x:v>
      </x:c>
      <x:c r="F30" s="142" t="str">
        <x:v>P0-Critical</x:v>
      </x:c>
      <x:c r="G30" s="139" t="str">
        <x:v>เปิด Edit Profile</x:v>
      </x:c>
      <x:c r="H30" s="139" t="str">
        <x:v>แก้ชื่อ วันเกิด เพศ Save แล้วเปิดใหม่</x:v>
      </x:c>
      <x:c r="I30" s="139" t="str">
        <x:v>nini/13-06-2006/ชาย</x:v>
      </x:c>
      <x:c r="J30" s="139" t="str">
        <x:v>ค่าอัปเดตทั้ง card/popup/Backend</x:v>
      </x:c>
      <x:c r="K30" s="139" t="str">
        <x:v>PUT profile</x:v>
      </x:c>
      <x:c r="L30" s="139" t="str">
        <x:v>ทุกขนาดที่รองรับ</x:v>
      </x:c>
      <x:c r="M30" s="145"/>
      <x:c r="N30" s="145" t="str">
        <x:v>Not Run</x:v>
      </x:c>
      <x:c r="O30" s="145"/>
      <x:c r="P30" s="145"/>
      <x:c r="Q30" s="145"/>
      <x:c r="R30" s="148"/>
      <x:c r="S30" s="145"/>
    </x:row>
    <x:row r="31" ht="58" customHeight="1">
      <x:c r="A31" s="142" t="str">
        <x:v>MB-025</x:v>
      </x:c>
      <x:c r="B31" s="142" t="str">
        <x:v>REQ-MB-MAIN</x:v>
      </x:c>
      <x:c r="C31" s="142" t="str">
        <x:v>Main</x:v>
      </x:c>
      <x:c r="D31" s="142" t="str">
        <x:v>แก้รูป Profile</x:v>
      </x:c>
      <x:c r="E31" s="142" t="str">
        <x:v>Integration</x:v>
      </x:c>
      <x:c r="F31" s="142" t="str">
        <x:v>P0-Critical</x:v>
      </x:c>
      <x:c r="G31" s="139" t="str">
        <x:v>อนุญาต Photo permission</x:v>
      </x:c>
      <x:c r="H31" s="139" t="str">
        <x:v>แตะกล้อง เลือกรูป ดู preview และ Save</x:v>
      </x:c>
      <x:c r="I31" s="139" t="str">
        <x:v>JPG/PNG</x:v>
      </x:c>
      <x:c r="J31" s="139" t="str">
        <x:v>เลือกรูปได้ อัปโหลด multipart และแสดงรูปใหม่หลัง restart</x:v>
      </x:c>
      <x:c r="K31" s="139" t="str">
        <x:v>Avatar upload</x:v>
      </x:c>
      <x:c r="L31" s="139" t="str">
        <x:v>Android/iOS permissions</x:v>
      </x:c>
      <x:c r="M31" s="145"/>
      <x:c r="N31" s="145" t="str">
        <x:v>Not Run</x:v>
      </x:c>
      <x:c r="O31" s="145"/>
      <x:c r="P31" s="145"/>
      <x:c r="Q31" s="145"/>
      <x:c r="R31" s="148"/>
      <x:c r="S31" s="145"/>
    </x:row>
    <x:row r="32" ht="58" customHeight="1">
      <x:c r="A32" s="142" t="str">
        <x:v>MB-026</x:v>
      </x:c>
      <x:c r="B32" s="142" t="str">
        <x:v>REQ-MB-MAIN</x:v>
      </x:c>
      <x:c r="C32" s="142" t="str">
        <x:v>Main</x:v>
      </x:c>
      <x:c r="D32" s="142" t="str">
        <x:v>ปฏิเสธ Permission/ไฟล์ผิด</x:v>
      </x:c>
      <x:c r="E32" s="142" t="str">
        <x:v>Negative</x:v>
      </x:c>
      <x:c r="F32" s="142" t="str">
        <x:v>P1-High</x:v>
      </x:c>
      <x:c r="G32" s="139" t="str">
        <x:v>ยังไม่อนุญาตรูป</x:v>
      </x:c>
      <x:c r="H32" s="139" t="str">
        <x:v>ปฏิเสธ permission หรือเลือกไฟล์ไม่รองรับ</x:v>
      </x:c>
      <x:c r="I32" s="139" t="str">
        <x:v>Permission denied/PDF</x:v>
      </x:c>
      <x:c r="J32" s="139" t="str">
        <x:v>แจ้งวิธีแก้ ไม่ crash และรูปเดิมคงอยู่</x:v>
      </x:c>
      <x:c r="K32" s="139" t="str">
        <x:v>-</x:v>
      </x:c>
      <x:c r="L32" s="139" t="str">
        <x:v>ทุกขนาดที่รองรับ</x:v>
      </x:c>
      <x:c r="M32" s="145"/>
      <x:c r="N32" s="145" t="str">
        <x:v>Not Run</x:v>
      </x:c>
      <x:c r="O32" s="145"/>
      <x:c r="P32" s="145"/>
      <x:c r="Q32" s="145"/>
      <x:c r="R32" s="148"/>
      <x:c r="S32" s="145"/>
    </x:row>
    <x:row r="33" ht="58" customHeight="1">
      <x:c r="A33" s="142" t="str">
        <x:v>MB-027</x:v>
      </x:c>
      <x:c r="B33" s="142" t="str">
        <x:v>REQ-MB-MAIN</x:v>
      </x:c>
      <x:c r="C33" s="142" t="str">
        <x:v>Main</x:v>
      </x:c>
      <x:c r="D33" s="142" t="str">
        <x:v>Constraint และ Add ขึ้นบน</x:v>
      </x:c>
      <x:c r="E33" s="142" t="str">
        <x:v>Functional</x:v>
      </x:c>
      <x:c r="F33" s="142" t="str">
        <x:v>P1-High</x:v>
      </x:c>
      <x:c r="G33" s="139" t="str">
        <x:v>เปิด Constraint tab</x:v>
      </x:c>
      <x:c r="H33" s="139" t="str">
        <x:v>แตะ +Add เพิ่ม Busy day</x:v>
      </x:c>
      <x:c r="I33" s="139" t="str">
        <x:v>Fri 19:00-20:00</x:v>
      </x:c>
      <x:c r="J33" s="139" t="str">
        <x:v>รายการใหม่แสดงบนสุด เลือกเวลาได้ครบ และ Save ได้</x:v>
      </x:c>
      <x:c r="K33" s="139" t="str">
        <x:v>PUT constraints</x:v>
      </x:c>
      <x:c r="L33" s="139" t="str">
        <x:v>ทุกขนาดที่รองรับ</x:v>
      </x:c>
      <x:c r="M33" s="145"/>
      <x:c r="N33" s="145" t="str">
        <x:v>Not Run</x:v>
      </x:c>
      <x:c r="O33" s="145"/>
      <x:c r="P33" s="145"/>
      <x:c r="Q33" s="145"/>
      <x:c r="R33" s="148"/>
      <x:c r="S33" s="145"/>
    </x:row>
    <x:row r="34" ht="58" customHeight="1">
      <x:c r="A34" s="142" t="str">
        <x:v>MB-028</x:v>
      </x:c>
      <x:c r="B34" s="142" t="str">
        <x:v>REQ-MB-MAIN</x:v>
      </x:c>
      <x:c r="C34" s="142" t="str">
        <x:v>Main</x:v>
      </x:c>
      <x:c r="D34" s="142" t="str">
        <x:v>ยังไม่มีเทอม</x:v>
      </x:c>
      <x:c r="E34" s="142" t="str">
        <x:v>Functional</x:v>
      </x:c>
      <x:c r="F34" s="142" t="str">
        <x:v>P0-Critical</x:v>
      </x:c>
      <x:c r="G34" s="139" t="str">
        <x:v>ไม่มี current term</x:v>
      </x:c>
      <x:c r="H34" s="139" t="str">
        <x:v>เปิด Main</x:v>
      </x:c>
      <x:c r="I34" s="139" t="str">
        <x:v>NO_CURRENT_TERM</x:v>
      </x:c>
      <x:c r="J34" s="139" t="str">
        <x:v>แสดงปุ่ม + สร้างเทอม; ทุกหน้าที่พึ่งเทอมใช้ state เดียวกัน</x:v>
      </x:c>
      <x:c r="K34" s="139" t="str">
        <x:v>-</x:v>
      </x:c>
      <x:c r="L34" s="139" t="str">
        <x:v>ทุกขนาดที่รองรับ</x:v>
      </x:c>
      <x:c r="M34" s="145"/>
      <x:c r="N34" s="145" t="str">
        <x:v>Not Run</x:v>
      </x:c>
      <x:c r="O34" s="145"/>
      <x:c r="P34" s="145"/>
      <x:c r="Q34" s="145"/>
      <x:c r="R34" s="148"/>
      <x:c r="S34" s="145"/>
    </x:row>
    <x:row r="35" ht="58" customHeight="1">
      <x:c r="A35" s="142" t="str">
        <x:v>MB-029</x:v>
      </x:c>
      <x:c r="B35" s="142" t="str">
        <x:v>REQ-MB-MAIN</x:v>
      </x:c>
      <x:c r="C35" s="142" t="str">
        <x:v>Main</x:v>
      </x:c>
      <x:c r="D35" s="142" t="str">
        <x:v>สร้างเทอม</x:v>
      </x:c>
      <x:c r="E35" s="142" t="str">
        <x:v>End-to-End</x:v>
      </x:c>
      <x:c r="F35" s="142" t="str">
        <x:v>P0-Critical</x:v>
      </x:c>
      <x:c r="G35" s="139" t="str">
        <x:v>ไม่มี current term</x:v>
      </x:c>
      <x:c r="H35" s="139" t="str">
        <x:v>แตะ + เลือกปี/เทอมด้วย custom dropdown แล้ว Save</x:v>
      </x:c>
      <x:c r="I35" s="139" t="str">
        <x:v>2569/1</x:v>
      </x:c>
      <x:c r="J35" s="139" t="str">
        <x:v>สร้างสำเร็จ Term card อยู่ใต้ Student card และ dropdown กด/scroll ได้</x:v>
      </x:c>
      <x:c r="K35" s="139" t="str">
        <x:v>POST current term</x:v>
      </x:c>
      <x:c r="L35" s="139" t="str">
        <x:v>ทุกขนาดที่รองรับ</x:v>
      </x:c>
      <x:c r="M35" s="145"/>
      <x:c r="N35" s="145" t="str">
        <x:v>Not Run</x:v>
      </x:c>
      <x:c r="O35" s="145"/>
      <x:c r="P35" s="145"/>
      <x:c r="Q35" s="145"/>
      <x:c r="R35" s="148"/>
      <x:c r="S35" s="145"/>
    </x:row>
    <x:row r="36" ht="58" customHeight="1">
      <x:c r="A36" s="142" t="str">
        <x:v>MB-030</x:v>
      </x:c>
      <x:c r="B36" s="142" t="str">
        <x:v>REQ-MB-MAIN</x:v>
      </x:c>
      <x:c r="C36" s="142" t="str">
        <x:v>Main</x:v>
      </x:c>
      <x:c r="D36" s="142" t="str">
        <x:v>Term details/end</x:v>
      </x:c>
      <x:c r="E36" s="142" t="str">
        <x:v>End-to-End</x:v>
      </x:c>
      <x:c r="F36" s="142" t="str">
        <x:v>P0-Critical</x:v>
      </x:c>
      <x:c r="G36" s="139" t="str">
        <x:v>มี term</x:v>
      </x:c>
      <x:c r="H36" s="139" t="str">
        <x:v>แตะ Term card ตรวจรายละเอียดแล้ว End</x:v>
      </x:c>
      <x:c r="I36" s="139" t="str">
        <x:v>TERM_ACTIVE</x:v>
      </x:c>
      <x:c r="J36" s="139" t="str">
        <x:v>popup เหมือน Web; ยืนยันแล้วกลับ add state</x:v>
      </x:c>
      <x:c r="K36" s="139" t="str">
        <x:v>GET/DELETE current term</x:v>
      </x:c>
      <x:c r="L36" s="139" t="str">
        <x:v>ทุกขนาดที่รองรับ</x:v>
      </x:c>
      <x:c r="M36" s="145"/>
      <x:c r="N36" s="145" t="str">
        <x:v>Not Run</x:v>
      </x:c>
      <x:c r="O36" s="145"/>
      <x:c r="P36" s="145"/>
      <x:c r="Q36" s="145"/>
      <x:c r="R36" s="148"/>
      <x:c r="S36" s="145"/>
    </x:row>
    <x:row r="37" ht="58" customHeight="1">
      <x:c r="A37" s="142" t="str">
        <x:v>MB-031</x:v>
      </x:c>
      <x:c r="B37" s="142" t="str">
        <x:v>REQ-MB-MAIN</x:v>
      </x:c>
      <x:c r="C37" s="142" t="str">
        <x:v>Main</x:v>
      </x:c>
      <x:c r="D37" s="142" t="str">
        <x:v>Schedule ว่าง</x:v>
      </x:c>
      <x:c r="E37" s="142" t="str">
        <x:v>Functional</x:v>
      </x:c>
      <x:c r="F37" s="142" t="str">
        <x:v>P1-High</x:v>
      </x:c>
      <x:c r="G37" s="139" t="str">
        <x:v>มี term ไม่มี schedule</x:v>
      </x:c>
      <x:c r="H37" s="139" t="str">
        <x:v>เปิด Main</x:v>
      </x:c>
      <x:c r="I37" s="139" t="str">
        <x:v>TERM_EMPTY_SCHEDULE</x:v>
      </x:c>
      <x:c r="J37" s="139" t="str">
        <x:v>แสดง empty state ตามกติกา ไม่ขึ้น connection error</x:v>
      </x:c>
      <x:c r="K37" s="139" t="str">
        <x:v>-</x:v>
      </x:c>
      <x:c r="L37" s="139" t="str">
        <x:v>ทุกขนาดที่รองรับ</x:v>
      </x:c>
      <x:c r="M37" s="145"/>
      <x:c r="N37" s="145" t="str">
        <x:v>Not Run</x:v>
      </x:c>
      <x:c r="O37" s="145"/>
      <x:c r="P37" s="145"/>
      <x:c r="Q37" s="145"/>
      <x:c r="R37" s="148"/>
      <x:c r="S37" s="145"/>
    </x:row>
    <x:row r="38" ht="58" customHeight="1">
      <x:c r="A38" s="142" t="str">
        <x:v>MB-032</x:v>
      </x:c>
      <x:c r="B38" s="142" t="str">
        <x:v>REQ-MB-MAIN</x:v>
      </x:c>
      <x:c r="C38" s="142" t="str">
        <x:v>Main</x:v>
      </x:c>
      <x:c r="D38" s="142" t="str">
        <x:v>เพิ่ม Schedule</x:v>
      </x:c>
      <x:c r="E38" s="142" t="str">
        <x:v>End-to-End</x:v>
      </x:c>
      <x:c r="F38" s="142" t="str">
        <x:v>P0-Critical</x:v>
      </x:c>
      <x:c r="G38" s="139" t="str">
        <x:v>มี term/subjects</x:v>
      </x:c>
      <x:c r="H38" s="139" t="str">
        <x:v>เปิด Add Schedule เลือกข้อมูลและ Save</x:v>
      </x:c>
      <x:c r="I38" s="139" t="str">
        <x:v>BI Mon 08:00-10:00</x:v>
      </x:c>
      <x:c r="J38" s="139" t="str">
        <x:v>สร้าง block ตรงวัน/เวลาและ refresh ยังอยู่</x:v>
      </x:c>
      <x:c r="K38" s="139" t="str">
        <x:v>POST schedule</x:v>
      </x:c>
      <x:c r="L38" s="139" t="str">
        <x:v>ทุกขนาดที่รองรับ</x:v>
      </x:c>
      <x:c r="M38" s="145"/>
      <x:c r="N38" s="145" t="str">
        <x:v>Not Run</x:v>
      </x:c>
      <x:c r="O38" s="145"/>
      <x:c r="P38" s="145"/>
      <x:c r="Q38" s="145"/>
      <x:c r="R38" s="148"/>
      <x:c r="S38" s="145"/>
    </x:row>
    <x:row r="39" ht="58" customHeight="1">
      <x:c r="A39" s="142" t="str">
        <x:v>MB-033</x:v>
      </x:c>
      <x:c r="B39" s="142" t="str">
        <x:v>REQ-MB-MAIN</x:v>
      </x:c>
      <x:c r="C39" s="142" t="str">
        <x:v>Main</x:v>
      </x:c>
      <x:c r="D39" s="142" t="str">
        <x:v>ตารางช่วงยาวและเริ่มตาม block</x:v>
      </x:c>
      <x:c r="E39" s="142" t="str">
        <x:v>UI/UX</x:v>
      </x:c>
      <x:c r="F39" s="142" t="str">
        <x:v>P1-High</x:v>
      </x:c>
      <x:c r="G39" s="139" t="str">
        <x:v>มี block ก่อน 06:00/หลัง 23:00</x:v>
      </x:c>
      <x:c r="H39" s="139" t="str">
        <x:v>เปิดและ scroll ตาราง</x:v>
      </x:c>
      <x:c r="I39" s="139" t="str">
        <x:v>05:00-06:00, 23:00-01:00</x:v>
      </x:c>
      <x:c r="J39" s="139" t="str">
        <x:v>ตารางยาวพอ เริ่มจากเวลามี block เส้น/มุม/สีขอบสม่ำเสมอ</x:v>
      </x:c>
      <x:c r="K39" s="139" t="str">
        <x:v>-</x:v>
      </x:c>
      <x:c r="L39" s="139" t="str">
        <x:v>ทุกขนาดที่รองรับ</x:v>
      </x:c>
      <x:c r="M39" s="145"/>
      <x:c r="N39" s="145" t="str">
        <x:v>Not Run</x:v>
      </x:c>
      <x:c r="O39" s="145"/>
      <x:c r="P39" s="145"/>
      <x:c r="Q39" s="145"/>
      <x:c r="R39" s="148"/>
      <x:c r="S39" s="145"/>
    </x:row>
    <x:row r="40" ht="58" customHeight="1">
      <x:c r="A40" s="142" t="str">
        <x:v>MB-034</x:v>
      </x:c>
      <x:c r="B40" s="142" t="str">
        <x:v>REQ-MB-MAIN</x:v>
      </x:c>
      <x:c r="C40" s="142" t="str">
        <x:v>Main</x:v>
      </x:c>
      <x:c r="D40" s="142" t="str">
        <x:v>Schedule validation</x:v>
      </x:c>
      <x:c r="E40" s="142" t="str">
        <x:v>Validation</x:v>
      </x:c>
      <x:c r="F40" s="142" t="str">
        <x:v>P0-Critical</x:v>
      </x:c>
      <x:c r="G40" s="139" t="str">
        <x:v>มี block เดิม</x:v>
      </x:c>
      <x:c r="H40" s="139" t="str">
        <x:v>เพิ่มช่วงทับซ้อน/end&lt;=start</x:v>
      </x:c>
      <x:c r="I40" s="139" t="str">
        <x:v>Mon 09:00-11:00</x:v>
      </x:c>
      <x:c r="J40" s="139" t="str">
        <x:v>ไม่บันทึกและแจ้งชัด</x:v>
      </x:c>
      <x:c r="K40" s="139" t="str">
        <x:v>-</x:v>
      </x:c>
      <x:c r="L40" s="139" t="str">
        <x:v>ทุกขนาดที่รองรับ</x:v>
      </x:c>
      <x:c r="M40" s="145"/>
      <x:c r="N40" s="145" t="str">
        <x:v>Not Run</x:v>
      </x:c>
      <x:c r="O40" s="145"/>
      <x:c r="P40" s="145"/>
      <x:c r="Q40" s="145"/>
      <x:c r="R40" s="148"/>
      <x:c r="S40" s="145"/>
    </x:row>
    <x:row r="41" ht="58" customHeight="1">
      <x:c r="A41" s="142" t="str">
        <x:v>MB-035</x:v>
      </x:c>
      <x:c r="B41" s="142" t="str">
        <x:v>REQ-MB-MAIN</x:v>
      </x:c>
      <x:c r="C41" s="142" t="str">
        <x:v>Main</x:v>
      </x:c>
      <x:c r="D41" s="142" t="str">
        <x:v>ดู/แก้/ลบ Schedule</x:v>
      </x:c>
      <x:c r="E41" s="142" t="str">
        <x:v>End-to-End</x:v>
      </x:c>
      <x:c r="F41" s="142" t="str">
        <x:v>P0-Critical</x:v>
      </x:c>
      <x:c r="G41" s="139" t="str">
        <x:v>มี block</x:v>
      </x:c>
      <x:c r="H41" s="139" t="str">
        <x:v>แตะ block แก้ Save แล้ว Delete</x:v>
      </x:c>
      <x:c r="I41" s="139" t="str">
        <x:v>Update time/type</x:v>
      </x:c>
      <x:c r="J41" s="139" t="str">
        <x:v>block อัปเดต/หายตรง Backend; ความสัมพันธ์รายการอื่นเป็นไปตามกติกา</x:v>
      </x:c>
      <x:c r="K41" s="139" t="str">
        <x:v>GET/PUT/DELETE schedule</x:v>
      </x:c>
      <x:c r="L41" s="139" t="str">
        <x:v>ทุกขนาดที่รองรับ</x:v>
      </x:c>
      <x:c r="M41" s="145"/>
      <x:c r="N41" s="145" t="str">
        <x:v>Not Run</x:v>
      </x:c>
      <x:c r="O41" s="145"/>
      <x:c r="P41" s="145"/>
      <x:c r="Q41" s="145"/>
      <x:c r="R41" s="148"/>
      <x:c r="S41" s="145"/>
    </x:row>
    <x:row r="42" ht="58" customHeight="1">
      <x:c r="A42" s="142" t="str">
        <x:v>MB-036</x:v>
      </x:c>
      <x:c r="B42" s="142" t="str">
        <x:v>REQ-MB-MAIN</x:v>
      </x:c>
      <x:c r="C42" s="142" t="str">
        <x:v>Main</x:v>
      </x:c>
      <x:c r="D42" s="142" t="str">
        <x:v>Bottom tabs</x:v>
      </x:c>
      <x:c r="E42" s="142" t="str">
        <x:v>Navigation</x:v>
      </x:c>
      <x:c r="F42" s="142" t="str">
        <x:v>P1-High</x:v>
      </x:c>
      <x:c r="G42" s="139" t="str">
        <x:v>อยู่ Main</x:v>
      </x:c>
      <x:c r="H42" s="139" t="str">
        <x:v>สลับ Main Score Homework Timer Test</x:v>
      </x:c>
      <x:c r="I42" s="139" t="str">
        <x:v>-</x:v>
      </x:c>
      <x:c r="J42" s="139" t="str">
        <x:v>แท็บอยู่ชิดขอบล่าง ขนาดสมดุล หน้าเปลี่ยนไม่เด้งและไม่ rebuild shell</x:v>
      </x:c>
      <x:c r="K42" s="139" t="str">
        <x:v>-</x:v>
      </x:c>
      <x:c r="L42" s="139" t="str">
        <x:v>ทุกขนาดที่รองรับ</x:v>
      </x:c>
      <x:c r="M42" s="145"/>
      <x:c r="N42" s="145" t="str">
        <x:v>Not Run</x:v>
      </x:c>
      <x:c r="O42" s="145"/>
      <x:c r="P42" s="145"/>
      <x:c r="Q42" s="145"/>
      <x:c r="R42" s="148"/>
      <x:c r="S42" s="145"/>
    </x:row>
    <x:row r="43" ht="58" customHeight="1">
      <x:c r="A43" s="142" t="str">
        <x:v>MB-037</x:v>
      </x:c>
      <x:c r="B43" s="142" t="str">
        <x:v>REQ-MB-MAIN</x:v>
      </x:c>
      <x:c r="C43" s="142" t="str">
        <x:v>Main</x:v>
      </x:c>
      <x:c r="D43" s="142" t="str">
        <x:v>Logout</x:v>
      </x:c>
      <x:c r="E43" s="142" t="str">
        <x:v>Security</x:v>
      </x:c>
      <x:c r="F43" s="142" t="str">
        <x:v>P0-Critical</x:v>
      </x:c>
      <x:c r="G43" s="139" t="str">
        <x:v>เปิด Profile popup</x:v>
      </x:c>
      <x:c r="H43" s="139" t="str">
        <x:v>แตะ Log out แล้วใช้ Back/restart</x:v>
      </x:c>
      <x:c r="I43" s="139" t="str">
        <x:v>-</x:v>
      </x:c>
      <x:c r="J43" s="139" t="str">
        <x:v>ล้าง secure session กลับ Login และเข้า protected page ไม่ได้</x:v>
      </x:c>
      <x:c r="K43" s="139" t="str">
        <x:v>POST logout</x:v>
      </x:c>
      <x:c r="L43" s="139" t="str">
        <x:v>ทุกขนาดที่รองรับ</x:v>
      </x:c>
      <x:c r="M43" s="145"/>
      <x:c r="N43" s="145" t="str">
        <x:v>Not Run</x:v>
      </x:c>
      <x:c r="O43" s="145"/>
      <x:c r="P43" s="145"/>
      <x:c r="Q43" s="145"/>
      <x:c r="R43" s="148"/>
      <x:c r="S43" s="145"/>
    </x:row>
    <x:row r="44" ht="58" customHeight="1">
      <x:c r="A44" s="142" t="str">
        <x:v>MB-038</x:v>
      </x:c>
      <x:c r="B44" s="142" t="str">
        <x:v>REQ-MB-SCORE</x:v>
      </x:c>
      <x:c r="C44" s="142" t="str">
        <x:v>Score</x:v>
      </x:c>
      <x:c r="D44" s="142" t="str">
        <x:v>ไม่มีเทอม</x:v>
      </x:c>
      <x:c r="E44" s="142" t="str">
        <x:v>Functional</x:v>
      </x:c>
      <x:c r="F44" s="142" t="str">
        <x:v>P0-Critical</x:v>
      </x:c>
      <x:c r="G44" s="139" t="str">
        <x:v>ไม่มี current term</x:v>
      </x:c>
      <x:c r="H44" s="139" t="str">
        <x:v>เปิด Score</x:v>
      </x:c>
      <x:c r="I44" s="139" t="str">
        <x:v>NO_CURRENT_TERM</x:v>
      </x:c>
      <x:c r="J44" s="139" t="str">
        <x:v>แสดง shared no-term state เหมือน Web ไม่ขึ้นไม่เชื่อมต่อ</x:v>
      </x:c>
      <x:c r="K44" s="139" t="str">
        <x:v>-</x:v>
      </x:c>
      <x:c r="L44" s="139" t="str">
        <x:v>ทุกขนาดที่รองรับ</x:v>
      </x:c>
      <x:c r="M44" s="145"/>
      <x:c r="N44" s="145" t="str">
        <x:v>Not Run</x:v>
      </x:c>
      <x:c r="O44" s="145"/>
      <x:c r="P44" s="145"/>
      <x:c r="Q44" s="145"/>
      <x:c r="R44" s="148"/>
      <x:c r="S44" s="145"/>
    </x:row>
    <x:row r="45" ht="58" customHeight="1">
      <x:c r="A45" s="142" t="str">
        <x:v>MB-039</x:v>
      </x:c>
      <x:c r="B45" s="142" t="str">
        <x:v>REQ-MB-SCORE</x:v>
      </x:c>
      <x:c r="C45" s="142" t="str">
        <x:v>Score</x:v>
      </x:c>
      <x:c r="D45" s="142" t="str">
        <x:v>ยังไม่มีเป้าหมาย</x:v>
      </x:c>
      <x:c r="E45" s="142" t="str">
        <x:v>Business Rule</x:v>
      </x:c>
      <x:c r="F45" s="142" t="str">
        <x:v>P0-Critical</x:v>
      </x:c>
      <x:c r="G45" s="139" t="str">
        <x:v>มี term/subjects แต่ไม่มี goals</x:v>
      </x:c>
      <x:c r="H45" s="139" t="str">
        <x:v>เปิด Score</x:v>
      </x:c>
      <x:c r="I45" s="139" t="str">
        <x:v>NO_GRADE_GOALS</x:v>
      </x:c>
      <x:c r="J45" s="139" t="str">
        <x:v>แจ้งเลือกเป้าหมายก่อน ยังไม่แสดง subject score เนื้อหาหลัก</x:v>
      </x:c>
      <x:c r="K45" s="139" t="str">
        <x:v>-</x:v>
      </x:c>
      <x:c r="L45" s="139" t="str">
        <x:v>ทุกขนาดที่รองรับ</x:v>
      </x:c>
      <x:c r="M45" s="145"/>
      <x:c r="N45" s="145" t="str">
        <x:v>Not Run</x:v>
      </x:c>
      <x:c r="O45" s="145"/>
      <x:c r="P45" s="145"/>
      <x:c r="Q45" s="145"/>
      <x:c r="R45" s="148"/>
      <x:c r="S45" s="145"/>
    </x:row>
    <x:row r="46" ht="58" customHeight="1">
      <x:c r="A46" s="142" t="str">
        <x:v>MB-040</x:v>
      </x:c>
      <x:c r="B46" s="142" t="str">
        <x:v>REQ-MB-SCORE</x:v>
      </x:c>
      <x:c r="C46" s="142" t="str">
        <x:v>Score</x:v>
      </x:c>
      <x:c r="D46" s="142" t="str">
        <x:v>Popup เป้าหมาย</x:v>
      </x:c>
      <x:c r="E46" s="142" t="str">
        <x:v>UI/UX</x:v>
      </x:c>
      <x:c r="F46" s="142" t="str">
        <x:v>P1-High</x:v>
      </x:c>
      <x:c r="G46" s="139" t="str">
        <x:v>ยังไม่มี goals</x:v>
      </x:c>
      <x:c r="H46" s="139" t="str">
        <x:v>เปิด popup ตรวจลำดับวิชา/dropdown/การคำนวณ</x:v>
      </x:c>
      <x:c r="I46" s="139" t="str">
        <x:v>Multiple subjects</x:v>
      </x:c>
      <x:c r="J46" s="139" t="str">
        <x:v>วิชาครบ dropdown ใช้งานได้ มีคำเตือนแก้ไม่ได้ และตัวอย่างเกรดคำนวณทันที</x:v>
      </x:c>
      <x:c r="K46" s="139" t="str">
        <x:v>-</x:v>
      </x:c>
      <x:c r="L46" s="139" t="str">
        <x:v>ทุกขนาดที่รองรับ</x:v>
      </x:c>
      <x:c r="M46" s="145"/>
      <x:c r="N46" s="145" t="str">
        <x:v>Not Run</x:v>
      </x:c>
      <x:c r="O46" s="145"/>
      <x:c r="P46" s="145"/>
      <x:c r="Q46" s="145"/>
      <x:c r="R46" s="148"/>
      <x:c r="S46" s="145"/>
    </x:row>
    <x:row r="47" ht="58" customHeight="1">
      <x:c r="A47" s="142" t="str">
        <x:v>MB-041</x:v>
      </x:c>
      <x:c r="B47" s="142" t="str">
        <x:v>REQ-MB-SCORE</x:v>
      </x:c>
      <x:c r="C47" s="142" t="str">
        <x:v>Score</x:v>
      </x:c>
      <x:c r="D47" s="142" t="str">
        <x:v>Save goals</x:v>
      </x:c>
      <x:c r="E47" s="142" t="str">
        <x:v>End-to-End</x:v>
      </x:c>
      <x:c r="F47" s="142" t="str">
        <x:v>P0-Critical</x:v>
      </x:c>
      <x:c r="G47" s="139" t="str">
        <x:v>เลือกครบทุกวิชา</x:v>
      </x:c>
      <x:c r="H47" s="139" t="str">
        <x:v>กด Save และ reload</x:v>
      </x:c>
      <x:c r="I47" s="139" t="str">
        <x:v>BI=B+, Numerical=A</x:v>
      </x:c>
      <x:c r="J47" s="139" t="str">
        <x:v>บันทึกสำเร็จครั้งเดียวและแสดง Score page</x:v>
      </x:c>
      <x:c r="K47" s="139" t="str">
        <x:v>POST grade goals</x:v>
      </x:c>
      <x:c r="L47" s="139" t="str">
        <x:v>ทุกขนาดที่รองรับ</x:v>
      </x:c>
      <x:c r="M47" s="145"/>
      <x:c r="N47" s="145" t="str">
        <x:v>Not Run</x:v>
      </x:c>
      <x:c r="O47" s="145"/>
      <x:c r="P47" s="145"/>
      <x:c r="Q47" s="145"/>
      <x:c r="R47" s="148"/>
      <x:c r="S47" s="145"/>
    </x:row>
    <x:row r="48" ht="58" customHeight="1">
      <x:c r="A48" s="142" t="str">
        <x:v>MB-042</x:v>
      </x:c>
      <x:c r="B48" s="142" t="str">
        <x:v>REQ-MB-SCORE</x:v>
      </x:c>
      <x:c r="C48" s="142" t="str">
        <x:v>Score</x:v>
      </x:c>
      <x:c r="D48" s="142" t="str">
        <x:v>Goal validation/API fail</x:v>
      </x:c>
      <x:c r="E48" s="142" t="str">
        <x:v>Recovery</x:v>
      </x:c>
      <x:c r="F48" s="142" t="str">
        <x:v>P0-Critical</x:v>
      </x:c>
      <x:c r="G48" s="139" t="str">
        <x:v>popup เปิด</x:v>
      </x:c>
      <x:c r="H48" s="139" t="str">
        <x:v>เว้นวิชา/จำลอง API fail แล้ว retry</x:v>
      </x:c>
      <x:c r="I48" s="139" t="str">
        <x:v>Missing goal/500</x:v>
      </x:c>
      <x:c r="J48" s="139" t="str">
        <x:v>ห้าม save เมื่อไม่ครบ; API fail ไม่ปิด popup/ไม่ทำให้ล็อก goal ผิด</x:v>
      </x:c>
      <x:c r="K48" s="139" t="str">
        <x:v>-</x:v>
      </x:c>
      <x:c r="L48" s="139" t="str">
        <x:v>ทุกขนาดที่รองรับ</x:v>
      </x:c>
      <x:c r="M48" s="145"/>
      <x:c r="N48" s="145" t="str">
        <x:v>Not Run</x:v>
      </x:c>
      <x:c r="O48" s="145"/>
      <x:c r="P48" s="145"/>
      <x:c r="Q48" s="145"/>
      <x:c r="R48" s="148"/>
      <x:c r="S48" s="145"/>
    </x:row>
    <x:row r="49" ht="58" customHeight="1">
      <x:c r="A49" s="142" t="str">
        <x:v>MB-043</x:v>
      </x:c>
      <x:c r="B49" s="142" t="str">
        <x:v>REQ-MB-SCORE</x:v>
      </x:c>
      <x:c r="C49" s="142" t="str">
        <x:v>Score</x:v>
      </x:c>
      <x:c r="D49" s="142" t="str">
        <x:v>GPA card</x:v>
      </x:c>
      <x:c r="E49" s="142" t="str">
        <x:v>Calculation</x:v>
      </x:c>
      <x:c r="F49" s="142" t="str">
        <x:v>P0-Critical</x:v>
      </x:c>
      <x:c r="G49" s="139" t="str">
        <x:v>มี goals และคะแนน</x:v>
      </x:c>
      <x:c r="H49" s="139" t="str">
        <x:v>ตรวจค่าบน gauge หลายค่า</x:v>
      </x:c>
      <x:c r="I49" s="139" t="str">
        <x:v>Current 2.50, target 3.00</x:v>
      </x:c>
      <x:c r="J49" s="139" t="str">
        <x:v>การ์ดกรอบขาวเตี้ย ตำแหน่งเหมือน Student card; gauge แสดง current/target ไม่ใช้เต็ม 4 เป็นเป้าหมาย</x:v>
      </x:c>
      <x:c r="K49" s="139" t="str">
        <x:v>-</x:v>
      </x:c>
      <x:c r="L49" s="139" t="str">
        <x:v>ทุกขนาดที่รองรับ</x:v>
      </x:c>
      <x:c r="M49" s="145"/>
      <x:c r="N49" s="145" t="str">
        <x:v>Not Run</x:v>
      </x:c>
      <x:c r="O49" s="145"/>
      <x:c r="P49" s="145"/>
      <x:c r="Q49" s="145"/>
      <x:c r="R49" s="148"/>
      <x:c r="S49" s="145"/>
    </x:row>
    <x:row r="50" ht="58" customHeight="1">
      <x:c r="A50" s="142" t="str">
        <x:v>MB-044</x:v>
      </x:c>
      <x:c r="B50" s="142" t="str">
        <x:v>REQ-MB-SCORE</x:v>
      </x:c>
      <x:c r="C50" s="142" t="str">
        <x:v>Score</x:v>
      </x:c>
      <x:c r="D50" s="142" t="str">
        <x:v>เกณฑ์เกรด</x:v>
      </x:c>
      <x:c r="E50" s="142" t="str">
        <x:v>Calculation</x:v>
      </x:c>
      <x:c r="F50" s="142" t="str">
        <x:v>P0-Critical</x:v>
      </x:c>
      <x:c r="G50" s="139" t="str">
        <x:v>มีคะแนน</x:v>
      </x:c>
      <x:c r="H50" s="139" t="str">
        <x:v>ตรวจ boundary</x:v>
      </x:c>
      <x:c r="I50" s="139" t="str">
        <x:v>80,75,70,65,60,55,50,49.99</x:v>
      </x:c>
      <x:c r="J50" s="139" t="str">
        <x:v>ได้ A,B+,B,C+,C,D+,D,F ตรงทุกค่า</x:v>
      </x:c>
      <x:c r="K50" s="139" t="str">
        <x:v>-</x:v>
      </x:c>
      <x:c r="L50" s="139" t="str">
        <x:v>ทุกขนาดที่รองรับ</x:v>
      </x:c>
      <x:c r="M50" s="145"/>
      <x:c r="N50" s="145" t="str">
        <x:v>Not Run</x:v>
      </x:c>
      <x:c r="O50" s="145"/>
      <x:c r="P50" s="145"/>
      <x:c r="Q50" s="145"/>
      <x:c r="R50" s="148"/>
      <x:c r="S50" s="145"/>
    </x:row>
    <x:row r="51" ht="58" customHeight="1">
      <x:c r="A51" s="142" t="str">
        <x:v>MB-045</x:v>
      </x:c>
      <x:c r="B51" s="142" t="str">
        <x:v>REQ-MB-SCORE</x:v>
      </x:c>
      <x:c r="C51" s="142" t="str">
        <x:v>Score</x:v>
      </x:c>
      <x:c r="D51" s="142" t="str">
        <x:v>คะแนนสะสม ../100</x:v>
      </x:c>
      <x:c r="E51" s="142" t="str">
        <x:v>Calculation</x:v>
      </x:c>
      <x:c r="F51" s="142" t="str">
        <x:v>P0-Critical</x:v>
      </x:c>
      <x:c r="G51" s="139" t="str">
        <x:v>มี completed workloads</x:v>
      </x:c>
      <x:c r="H51" s="139" t="str">
        <x:v>กรอกคะแนนหลายงาน</x:v>
      </x:c>
      <x:c r="I51" s="139" t="str">
        <x:v>20/30+40/50</x:v>
      </x:c>
      <x:c r="J51" s="139" t="str">
        <x:v>คะแนนรวม 60/100 เกรด เป้าหมาย และหลอดเปอร์เซ็นต์สอดคล้อง</x:v>
      </x:c>
      <x:c r="K51" s="139" t="str">
        <x:v>-</x:v>
      </x:c>
      <x:c r="L51" s="139" t="str">
        <x:v>ทุกขนาดที่รองรับ</x:v>
      </x:c>
      <x:c r="M51" s="145"/>
      <x:c r="N51" s="145" t="str">
        <x:v>Not Run</x:v>
      </x:c>
      <x:c r="O51" s="145"/>
      <x:c r="P51" s="145"/>
      <x:c r="Q51" s="145"/>
      <x:c r="R51" s="148"/>
      <x:c r="S51" s="145"/>
    </x:row>
    <x:row r="52" ht="58" customHeight="1">
      <x:c r="A52" s="142" t="str">
        <x:v>MB-046</x:v>
      </x:c>
      <x:c r="B52" s="142" t="str">
        <x:v>REQ-MB-SCORE</x:v>
      </x:c>
      <x:c r="C52" s="142" t="str">
        <x:v>Score</x:v>
      </x:c>
      <x:c r="D52" s="142" t="str">
        <x:v>คะแนนรวมไม่เกิน 100</x:v>
      </x:c>
      <x:c r="E52" s="142" t="str">
        <x:v>Validation</x:v>
      </x:c>
      <x:c r="F52" s="142" t="str">
        <x:v>P0-Critical</x:v>
      </x:c>
      <x:c r="G52" s="139" t="str">
        <x:v>สะสม 95</x:v>
      </x:c>
      <x:c r="H52" s="139" t="str">
        <x:v>เพิ่ม 6/10 และค่าติดลบ/เกินเต็ม</x:v>
      </x:c>
      <x:c r="I52" s="139" t="str">
        <x:v>6,-1,11/10</x:v>
      </x:c>
      <x:c r="J52" s="139" t="str">
        <x:v>ปฏิเสธทุกกรณีที่ผิดพร้อมข้อความและไม่เปลี่ยนยอด</x:v>
      </x:c>
      <x:c r="K52" s="139" t="str">
        <x:v>POST workload score</x:v>
      </x:c>
      <x:c r="L52" s="139" t="str">
        <x:v>ทุกขนาดที่รองรับ</x:v>
      </x:c>
      <x:c r="M52" s="145"/>
      <x:c r="N52" s="145" t="str">
        <x:v>Not Run</x:v>
      </x:c>
      <x:c r="O52" s="145"/>
      <x:c r="P52" s="145"/>
      <x:c r="Q52" s="145"/>
      <x:c r="R52" s="148"/>
      <x:c r="S52" s="145"/>
    </x:row>
    <x:row r="53" ht="58" customHeight="1">
      <x:c r="A53" s="142" t="str">
        <x:v>MB-047</x:v>
      </x:c>
      <x:c r="B53" s="142" t="str">
        <x:v>REQ-MB-SCORE</x:v>
      </x:c>
      <x:c r="C53" s="142" t="str">
        <x:v>Score</x:v>
      </x:c>
      <x:c r="D53" s="142" t="str">
        <x:v>Subject tabs</x:v>
      </x:c>
      <x:c r="E53" s="142" t="str">
        <x:v>UI/UX</x:v>
      </x:c>
      <x:c r="F53" s="142" t="str">
        <x:v>P1-High</x:v>
      </x:c>
      <x:c r="G53" s="139" t="str">
        <x:v>มี 4+ subjects</x:v>
      </x:c>
      <x:c r="H53" s="139" t="str">
        <x:v>แตะสลับและ scroll horizontal ถ้ามี</x:v>
      </x:c>
      <x:c r="I53" s="139" t="str">
        <x:v>Many subjects</x:v>
      </x:c>
      <x:c r="J53" s="139" t="str">
        <x:v>แท็บชิดด้านหน้า ซ้อนเหมือน Main active ชัด และเนื้อหาตรงวิชา</x:v>
      </x:c>
      <x:c r="K53" s="139" t="str">
        <x:v>-</x:v>
      </x:c>
      <x:c r="L53" s="139" t="str">
        <x:v>ทุกขนาดที่รองรับ</x:v>
      </x:c>
      <x:c r="M53" s="145"/>
      <x:c r="N53" s="145" t="str">
        <x:v>Not Run</x:v>
      </x:c>
      <x:c r="O53" s="145"/>
      <x:c r="P53" s="145"/>
      <x:c r="Q53" s="145"/>
      <x:c r="R53" s="148"/>
      <x:c r="S53" s="145"/>
    </x:row>
    <x:row r="54" ht="58" customHeight="1">
      <x:c r="A54" s="142" t="str">
        <x:v>MB-048</x:v>
      </x:c>
      <x:c r="B54" s="142" t="str">
        <x:v>REQ-MB-SCORE</x:v>
      </x:c>
      <x:c r="C54" s="142" t="str">
        <x:v>Score</x:v>
      </x:c>
      <x:c r="D54" s="142" t="str">
        <x:v>ประเภทงาน/สี</x:v>
      </x:c>
      <x:c r="E54" s="142" t="str">
        <x:v>UI/UX</x:v>
      </x:c>
      <x:c r="F54" s="142" t="str">
        <x:v>P1-High</x:v>
      </x:c>
      <x:c r="G54" s="139" t="str">
        <x:v>มีงานหลายประเภท</x:v>
      </x:c>
      <x:c r="H54" s="139" t="str">
        <x:v>ตรวจ chip ทุกประเภทและสถานะ pressed</x:v>
      </x:c>
      <x:c r="I54" s="139" t="str">
        <x:v>quiz/final/midterm/project/assignment</x:v>
      </x:c>
      <x:c r="J54" s="139" t="str">
        <x:v>สีตรง Homework และ type ไม่ถูกแทนเป็น midterm ผิด</x:v>
      </x:c>
      <x:c r="K54" s="139" t="str">
        <x:v>-</x:v>
      </x:c>
      <x:c r="L54" s="139" t="str">
        <x:v>ทุกขนาดที่รองรับ</x:v>
      </x:c>
      <x:c r="M54" s="145"/>
      <x:c r="N54" s="145" t="str">
        <x:v>Not Run</x:v>
      </x:c>
      <x:c r="O54" s="145"/>
      <x:c r="P54" s="145"/>
      <x:c r="Q54" s="145"/>
      <x:c r="R54" s="148"/>
      <x:c r="S54" s="145"/>
    </x:row>
    <x:row r="55" ht="58" customHeight="1">
      <x:c r="A55" s="142" t="str">
        <x:v>MB-049</x:v>
      </x:c>
      <x:c r="B55" s="142" t="str">
        <x:v>REQ-MB-SCORE</x:v>
      </x:c>
      <x:c r="C55" s="142" t="str">
        <x:v>Score</x:v>
      </x:c>
      <x:c r="D55" s="142" t="str">
        <x:v>งานว่าง/โหลดผิดพลาด</x:v>
      </x:c>
      <x:c r="E55" s="142" t="str">
        <x:v>Recovery</x:v>
      </x:c>
      <x:c r="F55" s="142" t="str">
        <x:v>P1-High</x:v>
      </x:c>
      <x:c r="G55" s="139" t="str">
        <x:v>วิชาไม่มี completed task/จำลอง API fail</x:v>
      </x:c>
      <x:c r="H55" s="139" t="str">
        <x:v>สลับวิชาและ Retry</x:v>
      </x:c>
      <x:c r="I55" s="139" t="str">
        <x:v>Empty/500</x:v>
      </x:c>
      <x:c r="J55" s="139" t="str">
        <x:v>empty state ถูก; error แยกจากไม่มีข้อมูลและ retry ได้</x:v>
      </x:c>
      <x:c r="K55" s="139" t="str">
        <x:v>-</x:v>
      </x:c>
      <x:c r="L55" s="139" t="str">
        <x:v>ทุกขนาดที่รองรับ</x:v>
      </x:c>
      <x:c r="M55" s="145"/>
      <x:c r="N55" s="145" t="str">
        <x:v>Not Run</x:v>
      </x:c>
      <x:c r="O55" s="145"/>
      <x:c r="P55" s="145"/>
      <x:c r="Q55" s="145"/>
      <x:c r="R55" s="148"/>
      <x:c r="S55" s="145"/>
    </x:row>
    <x:row r="56" ht="58" customHeight="1">
      <x:c r="A56" s="142" t="str">
        <x:v>MB-050</x:v>
      </x:c>
      <x:c r="B56" s="142" t="str">
        <x:v>REQ-MB-HOMEWORK</x:v>
      </x:c>
      <x:c r="C56" s="142" t="str">
        <x:v>Homework</x:v>
      </x:c>
      <x:c r="D56" s="142" t="str">
        <x:v>ไม่มีเทอม</x:v>
      </x:c>
      <x:c r="E56" s="142" t="str">
        <x:v>Functional</x:v>
      </x:c>
      <x:c r="F56" s="142" t="str">
        <x:v>P0-Critical</x:v>
      </x:c>
      <x:c r="G56" s="139" t="str">
        <x:v>ไม่มี current term</x:v>
      </x:c>
      <x:c r="H56" s="139" t="str">
        <x:v>เปิด Homework</x:v>
      </x:c>
      <x:c r="I56" s="139" t="str">
        <x:v>NO_CURRENT_TERM</x:v>
      </x:c>
      <x:c r="J56" s="139" t="str">
        <x:v>แสดง shared no-term state ไม่แสดง Add และไม่ขึ้น error เชื่อมต่อ</x:v>
      </x:c>
      <x:c r="K56" s="139" t="str">
        <x:v>-</x:v>
      </x:c>
      <x:c r="L56" s="139" t="str">
        <x:v>ทุกขนาดที่รองรับ</x:v>
      </x:c>
      <x:c r="M56" s="145"/>
      <x:c r="N56" s="145" t="str">
        <x:v>Not Run</x:v>
      </x:c>
      <x:c r="O56" s="145"/>
      <x:c r="P56" s="145"/>
      <x:c r="Q56" s="145"/>
      <x:c r="R56" s="148"/>
      <x:c r="S56" s="145"/>
    </x:row>
    <x:row r="57" ht="58" customHeight="1">
      <x:c r="A57" s="142" t="str">
        <x:v>MB-051</x:v>
      </x:c>
      <x:c r="B57" s="142" t="str">
        <x:v>REQ-MB-HOMEWORK</x:v>
      </x:c>
      <x:c r="C57" s="142" t="str">
        <x:v>Homework</x:v>
      </x:c>
      <x:c r="D57" s="142" t="str">
        <x:v>เทอมใหม่ไม่มีงาน</x:v>
      </x:c>
      <x:c r="E57" s="142" t="str">
        <x:v>Functional</x:v>
      </x:c>
      <x:c r="F57" s="142" t="str">
        <x:v>P0-Critical</x:v>
      </x:c>
      <x:c r="G57" s="139" t="str">
        <x:v>มี term ไม่เคยมี workload</x:v>
      </x:c>
      <x:c r="H57" s="139" t="str">
        <x:v>เปิด Homework</x:v>
      </x:c>
      <x:c r="I57" s="139" t="str">
        <x:v>TERM_NO_WORKLOAD</x:v>
      </x:c>
      <x:c r="J57" s="139" t="str">
        <x:v>มีเฉพาะปุ่มเพิ่มงาน ไม่แสดงส่งงานครบแล้ว</x:v>
      </x:c>
      <x:c r="K57" s="139" t="str">
        <x:v>-</x:v>
      </x:c>
      <x:c r="L57" s="139" t="str">
        <x:v>ทุกขนาดที่รองรับ</x:v>
      </x:c>
      <x:c r="M57" s="145"/>
      <x:c r="N57" s="145" t="str">
        <x:v>Not Run</x:v>
      </x:c>
      <x:c r="O57" s="145"/>
      <x:c r="P57" s="145"/>
      <x:c r="Q57" s="145"/>
      <x:c r="R57" s="148"/>
      <x:c r="S57" s="145"/>
    </x:row>
    <x:row r="58" ht="58" customHeight="1">
      <x:c r="A58" s="142" t="str">
        <x:v>MB-052</x:v>
      </x:c>
      <x:c r="B58" s="142" t="str">
        <x:v>REQ-MB-HOMEWORK</x:v>
      </x:c>
      <x:c r="C58" s="142" t="str">
        <x:v>Homework</x:v>
      </x:c>
      <x:c r="D58" s="142" t="str">
        <x:v>Add button</x:v>
      </x:c>
      <x:c r="E58" s="142" t="str">
        <x:v>UI/UX</x:v>
      </x:c>
      <x:c r="F58" s="142" t="str">
        <x:v>P1-High</x:v>
      </x:c>
      <x:c r="G58" s="139" t="str">
        <x:v>มี term</x:v>
      </x:c>
      <x:c r="H58" s="139" t="str">
        <x:v>ตรวจ alignment แตะ และสถานะ pressed</x:v>
      </x:c>
      <x:c r="I58" s="139" t="str">
        <x:v>-</x:v>
      </x:c>
      <x:c r="J58" s="139" t="str">
        <x:v>ข้อความอยู่กึ่งกลาง ปุ่มเปลี่ยนสีตามแบบและเปิด popup</x:v>
      </x:c>
      <x:c r="K58" s="139" t="str">
        <x:v>-</x:v>
      </x:c>
      <x:c r="L58" s="139" t="str">
        <x:v>ทุกขนาดที่รองรับ</x:v>
      </x:c>
      <x:c r="M58" s="145"/>
      <x:c r="N58" s="145" t="str">
        <x:v>Not Run</x:v>
      </x:c>
      <x:c r="O58" s="145"/>
      <x:c r="P58" s="145"/>
      <x:c r="Q58" s="145"/>
      <x:c r="R58" s="148"/>
      <x:c r="S58" s="145"/>
    </x:row>
    <x:row r="59" ht="58" customHeight="1">
      <x:c r="A59" s="142" t="str">
        <x:v>MB-053</x:v>
      </x:c>
      <x:c r="B59" s="142" t="str">
        <x:v>REQ-MB-HOMEWORK</x:v>
      </x:c>
      <x:c r="C59" s="142" t="str">
        <x:v>Homework</x:v>
      </x:c>
      <x:c r="D59" s="142" t="str">
        <x:v>Subject source</x:v>
      </x:c>
      <x:c r="E59" s="142" t="str">
        <x:v>Integration</x:v>
      </x:c>
      <x:c r="F59" s="142" t="str">
        <x:v>P0-Critical</x:v>
      </x:c>
      <x:c r="G59" s="139" t="str">
        <x:v>มี schedule type 1/2/3</x:v>
      </x:c>
      <x:c r="H59" s="139" t="str">
        <x:v>เปิด Subject dropdown</x:v>
      </x:c>
      <x:c r="I59" s="139" t="str">
        <x:v>Mixed schedules</x:v>
      </x:c>
      <x:c r="J59" s="139" t="str">
        <x:v>เห็นเฉพาะ schedule_type_id=1 และรายการลบตาม subject schedule จริง</x:v>
      </x:c>
      <x:c r="K59" s="139" t="str">
        <x:v>GET homework subjects</x:v>
      </x:c>
      <x:c r="L59" s="139" t="str">
        <x:v>ทุกขนาดที่รองรับ</x:v>
      </x:c>
      <x:c r="M59" s="145"/>
      <x:c r="N59" s="145" t="str">
        <x:v>Not Run</x:v>
      </x:c>
      <x:c r="O59" s="145"/>
      <x:c r="P59" s="145"/>
      <x:c r="Q59" s="145"/>
      <x:c r="R59" s="148"/>
      <x:c r="S59" s="145"/>
    </x:row>
    <x:row r="60" ht="58" customHeight="1">
      <x:c r="A60" s="142" t="str">
        <x:v>MB-054</x:v>
      </x:c>
      <x:c r="B60" s="142" t="str">
        <x:v>REQ-MB-HOMEWORK</x:v>
      </x:c>
      <x:c r="C60" s="142" t="str">
        <x:v>Homework</x:v>
      </x:c>
      <x:c r="D60" s="142" t="str">
        <x:v>Type palette</x:v>
      </x:c>
      <x:c r="E60" s="142" t="str">
        <x:v>UI/UX</x:v>
      </x:c>
      <x:c r="F60" s="142" t="str">
        <x:v>P1-High</x:v>
      </x:c>
      <x:c r="G60" s="139" t="str">
        <x:v>เปิด Add popup</x:v>
      </x:c>
      <x:c r="H60" s="139" t="str">
        <x:v>แตะทุก type</x:v>
      </x:c>
      <x:c r="I60" s="139" t="str">
        <x:v>All types</x:v>
      </x:c>
      <x:c r="J60" s="139" t="str">
        <x:v>สี normal/selected ตรง Web/Score และ id ถูก</x:v>
      </x:c>
      <x:c r="K60" s="139" t="str">
        <x:v>-</x:v>
      </x:c>
      <x:c r="L60" s="139" t="str">
        <x:v>ทุกขนาดที่รองรับ</x:v>
      </x:c>
      <x:c r="M60" s="145"/>
      <x:c r="N60" s="145" t="str">
        <x:v>Not Run</x:v>
      </x:c>
      <x:c r="O60" s="145"/>
      <x:c r="P60" s="145"/>
      <x:c r="Q60" s="145"/>
      <x:c r="R60" s="148"/>
      <x:c r="S60" s="145"/>
    </x:row>
    <x:row r="61" ht="58" customHeight="1">
      <x:c r="A61" s="142" t="str">
        <x:v>MB-055</x:v>
      </x:c>
      <x:c r="B61" s="142" t="str">
        <x:v>REQ-MB-HOMEWORK</x:v>
      </x:c>
      <x:c r="C61" s="142" t="str">
        <x:v>Homework</x:v>
      </x:c>
      <x:c r="D61" s="142" t="str">
        <x:v>Deadline อดีต/24h</x:v>
      </x:c>
      <x:c r="E61" s="142" t="str">
        <x:v>End-to-End</x:v>
      </x:c>
      <x:c r="F61" s="142" t="str">
        <x:v>P0-Critical</x:v>
      </x:c>
      <x:c r="G61" s="139" t="str">
        <x:v>เปิด Add popup</x:v>
      </x:c>
      <x:c r="H61" s="139" t="str">
        <x:v>เลือกอดีต 17:05 และ Save</x:v>
      </x:c>
      <x:c r="I61" s="139" t="str">
        <x:v>Yesterday 17:05</x:v>
      </x:c>
      <x:c r="J61" s="139" t="str">
        <x:v>เลือกได้ แสดง/ส่ง 24h วันที่ไม่เลื่อน timezone</x:v>
      </x:c>
      <x:c r="K61" s="139" t="str">
        <x:v>POST homework</x:v>
      </x:c>
      <x:c r="L61" s="139" t="str">
        <x:v>ทุกขนาดที่รองรับ</x:v>
      </x:c>
      <x:c r="M61" s="145"/>
      <x:c r="N61" s="145" t="str">
        <x:v>Not Run</x:v>
      </x:c>
      <x:c r="O61" s="145"/>
      <x:c r="P61" s="145"/>
      <x:c r="Q61" s="145"/>
      <x:c r="R61" s="148"/>
      <x:c r="S61" s="145"/>
    </x:row>
    <x:row r="62" ht="58" customHeight="1">
      <x:c r="A62" s="142" t="str">
        <x:v>MB-056</x:v>
      </x:c>
      <x:c r="B62" s="142" t="str">
        <x:v>REQ-MB-HOMEWORK</x:v>
      </x:c>
      <x:c r="C62" s="142" t="str">
        <x:v>Homework</x:v>
      </x:c>
      <x:c r="D62" s="142" t="str">
        <x:v>Validation</x:v>
      </x:c>
      <x:c r="E62" s="142" t="str">
        <x:v>Validation</x:v>
      </x:c>
      <x:c r="F62" s="142" t="str">
        <x:v>P0-Critical</x:v>
      </x:c>
      <x:c r="G62" s="139" t="str">
        <x:v>เปิด Add popup</x:v>
      </x:c>
      <x:c r="H62" s="139" t="str">
        <x:v>เว้น field/ชื่อยาว/เวลาไม่ถูก</x:v>
      </x:c>
      <x:c r="I62" s="139" t="str">
        <x:v>Invalid fields</x:v>
      </x:c>
      <x:c r="J62" s="139" t="str">
        <x:v>ข้อความใกล้ช่อง ปุ่มไม่ส่ง และ keyboard ไม่บัง error</x:v>
      </x:c>
      <x:c r="K62" s="139" t="str">
        <x:v>-</x:v>
      </x:c>
      <x:c r="L62" s="139" t="str">
        <x:v>ทุกขนาดที่รองรับ</x:v>
      </x:c>
      <x:c r="M62" s="145"/>
      <x:c r="N62" s="145" t="str">
        <x:v>Not Run</x:v>
      </x:c>
      <x:c r="O62" s="145"/>
      <x:c r="P62" s="145"/>
      <x:c r="Q62" s="145"/>
      <x:c r="R62" s="148"/>
      <x:c r="S62" s="145"/>
    </x:row>
    <x:row r="63" ht="58" customHeight="1">
      <x:c r="A63" s="142" t="str">
        <x:v>MB-057</x:v>
      </x:c>
      <x:c r="B63" s="142" t="str">
        <x:v>REQ-MB-HOMEWORK</x:v>
      </x:c>
      <x:c r="C63" s="142" t="str">
        <x:v>Homework</x:v>
      </x:c>
      <x:c r="D63" s="142" t="str">
        <x:v>Persistence งานพรุ่งนี้</x:v>
      </x:c>
      <x:c r="E63" s="142" t="str">
        <x:v>Regression</x:v>
      </x:c>
      <x:c r="F63" s="142" t="str">
        <x:v>P0-Critical</x:v>
      </x:c>
      <x:c r="G63" s="139" t="str">
        <x:v>สร้างงาน due พรุ่งนี้</x:v>
      </x:c>
      <x:c r="H63" s="139" t="str">
        <x:v>ปิดหน้า/restart app</x:v>
      </x:c>
      <x:c r="I63" s="139" t="str">
        <x:v>Tomorrow 09:00</x:v>
      </x:c>
      <x:c r="J63" s="139" t="str">
        <x:v>งานยังอยู่กลุ่มพรุ่งนี้ ไม่หายจากการแปลงวันที่</x:v>
      </x:c>
      <x:c r="K63" s="139" t="str">
        <x:v>GET homework overview</x:v>
      </x:c>
      <x:c r="L63" s="139" t="str">
        <x:v>ทุกขนาดที่รองรับ</x:v>
      </x:c>
      <x:c r="M63" s="145"/>
      <x:c r="N63" s="145" t="str">
        <x:v>Not Run</x:v>
      </x:c>
      <x:c r="O63" s="145"/>
      <x:c r="P63" s="145"/>
      <x:c r="Q63" s="145"/>
      <x:c r="R63" s="148"/>
      <x:c r="S63" s="145"/>
    </x:row>
    <x:row r="64" ht="58" customHeight="1">
      <x:c r="A64" s="142" t="str">
        <x:v>MB-058</x:v>
      </x:c>
      <x:c r="B64" s="142" t="str">
        <x:v>REQ-MB-HOMEWORK</x:v>
      </x:c>
      <x:c r="C64" s="142" t="str">
        <x:v>Homework</x:v>
      </x:c>
      <x:c r="D64" s="142" t="str">
        <x:v>Grouping/Responsive</x:v>
      </x:c>
      <x:c r="E64" s="142" t="str">
        <x:v>Functional</x:v>
      </x:c>
      <x:c r="F64" s="142" t="str">
        <x:v>P1-High</x:v>
      </x:c>
      <x:c r="G64" s="139" t="str">
        <x:v>มีหลายงาน</x:v>
      </x:c>
      <x:c r="H64" s="139" t="str">
        <x:v>scroll ทุกกลุ่มบนจอเล็ก</x:v>
      </x:c>
      <x:c r="I64" s="139" t="str">
        <x:v>Tomorrow/date/late</x:v>
      </x:c>
      <x:c r="J64" s="139" t="str">
        <x:v>เรียงกลุ่มและการ์ดถูก ไม่ overflow และ bottom tab ไม่บังรายการท้าย</x:v>
      </x:c>
      <x:c r="K64" s="139" t="str">
        <x:v>-</x:v>
      </x:c>
      <x:c r="L64" s="139" t="str">
        <x:v>ทุกขนาดที่รองรับ</x:v>
      </x:c>
      <x:c r="M64" s="145"/>
      <x:c r="N64" s="145" t="str">
        <x:v>Not Run</x:v>
      </x:c>
      <x:c r="O64" s="145"/>
      <x:c r="P64" s="145"/>
      <x:c r="Q64" s="145"/>
      <x:c r="R64" s="148"/>
      <x:c r="S64" s="145"/>
    </x:row>
    <x:row r="65" ht="58" customHeight="1">
      <x:c r="A65" s="142" t="str">
        <x:v>MB-059</x:v>
      </x:c>
      <x:c r="B65" s="142" t="str">
        <x:v>REQ-MB-HOMEWORK</x:v>
      </x:c>
      <x:c r="C65" s="142" t="str">
        <x:v>Homework</x:v>
      </x:c>
      <x:c r="D65" s="142" t="str">
        <x:v>Details popup</x:v>
      </x:c>
      <x:c r="E65" s="142" t="str">
        <x:v>Functional</x:v>
      </x:c>
      <x:c r="F65" s="142" t="str">
        <x:v>P1-High</x:v>
      </x:c>
      <x:c r="G65" s="139" t="str">
        <x:v>มี task</x:v>
      </x:c>
      <x:c r="H65" s="139" t="str">
        <x:v>แตะ task</x:v>
      </x:c>
      <x:c r="I65" s="139" t="str">
        <x:v>HOMEWORK_PENDING</x:v>
      </x:c>
      <x:c r="J65" s="139" t="str">
        <x:v>แสดงวิชา type ชื่อ due 24h โน้ต และปุ่ม Edit/Delete</x:v>
      </x:c>
      <x:c r="K65" s="139" t="str">
        <x:v>-</x:v>
      </x:c>
      <x:c r="L65" s="139" t="str">
        <x:v>ทุกขนาดที่รองรับ</x:v>
      </x:c>
      <x:c r="M65" s="145"/>
      <x:c r="N65" s="145" t="str">
        <x:v>Not Run</x:v>
      </x:c>
      <x:c r="O65" s="145"/>
      <x:c r="P65" s="145"/>
      <x:c r="Q65" s="145"/>
      <x:c r="R65" s="148"/>
      <x:c r="S65" s="145"/>
    </x:row>
    <x:row r="66" ht="58" customHeight="1">
      <x:c r="A66" s="142" t="str">
        <x:v>MB-060</x:v>
      </x:c>
      <x:c r="B66" s="142" t="str">
        <x:v>REQ-MB-HOMEWORK</x:v>
      </x:c>
      <x:c r="C66" s="142" t="str">
        <x:v>Homework</x:v>
      </x:c>
      <x:c r="D66" s="142" t="str">
        <x:v>แก้ไขงาน</x:v>
      </x:c>
      <x:c r="E66" s="142" t="str">
        <x:v>End-to-End</x:v>
      </x:c>
      <x:c r="F66" s="142" t="str">
        <x:v>P0-Critical</x:v>
      </x:c>
      <x:c r="G66" s="139" t="str">
        <x:v>เปิด details</x:v>
      </x:c>
      <x:c r="H66" s="139" t="str">
        <x:v>แตะ Edit แก้ข้อมูลและ Save</x:v>
      </x:c>
      <x:c r="I66" s="139" t="str">
        <x:v>New title/type/date</x:v>
      </x:c>
      <x:c r="J66" s="139" t="str">
        <x:v>เปลี่ยนเป็น input ใน popup เดิม บันทึกแล้วจัดกลุ่มใหม่ถูก</x:v>
      </x:c>
      <x:c r="K66" s="139" t="str">
        <x:v>PUT homework</x:v>
      </x:c>
      <x:c r="L66" s="139" t="str">
        <x:v>ทุกขนาดที่รองรับ</x:v>
      </x:c>
      <x:c r="M66" s="145"/>
      <x:c r="N66" s="145" t="str">
        <x:v>Not Run</x:v>
      </x:c>
      <x:c r="O66" s="145"/>
      <x:c r="P66" s="145"/>
      <x:c r="Q66" s="145"/>
      <x:c r="R66" s="148"/>
      <x:c r="S66" s="145"/>
    </x:row>
    <x:row r="67" ht="58" customHeight="1">
      <x:c r="A67" s="142" t="str">
        <x:v>MB-061</x:v>
      </x:c>
      <x:c r="B67" s="142" t="str">
        <x:v>REQ-MB-HOMEWORK</x:v>
      </x:c>
      <x:c r="C67" s="142" t="str">
        <x:v>Homework</x:v>
      </x:c>
      <x:c r="D67" s="142" t="str">
        <x:v>ลบงาน</x:v>
      </x:c>
      <x:c r="E67" s="142" t="str">
        <x:v>End-to-End</x:v>
      </x:c>
      <x:c r="F67" s="142" t="str">
        <x:v>P0-Critical</x:v>
      </x:c>
      <x:c r="G67" s="139" t="str">
        <x:v>เปิด details</x:v>
      </x:c>
      <x:c r="H67" s="139" t="str">
        <x:v>แตะ Delete และยืนยัน</x:v>
      </x:c>
      <x:c r="I67" s="139" t="str">
        <x:v>HOMEWORK_PENDING</x:v>
      </x:c>
      <x:c r="J67" s="139" t="str">
        <x:v>ลบ UI/Backend กลุ่มว่างหาย และไม่กระทบงานอื่น</x:v>
      </x:c>
      <x:c r="K67" s="139" t="str">
        <x:v>DELETE homework</x:v>
      </x:c>
      <x:c r="L67" s="139" t="str">
        <x:v>ทุกขนาดที่รองรับ</x:v>
      </x:c>
      <x:c r="M67" s="145"/>
      <x:c r="N67" s="145" t="str">
        <x:v>Not Run</x:v>
      </x:c>
      <x:c r="O67" s="145"/>
      <x:c r="P67" s="145"/>
      <x:c r="Q67" s="145"/>
      <x:c r="R67" s="148"/>
      <x:c r="S67" s="145"/>
    </x:row>
    <x:row r="68" ht="58" customHeight="1">
      <x:c r="A68" s="142" t="str">
        <x:v>MB-062</x:v>
      </x:c>
      <x:c r="B68" s="142" t="str">
        <x:v>REQ-MB-HOMEWORK</x:v>
      </x:c>
      <x:c r="C68" s="142" t="str">
        <x:v>Homework</x:v>
      </x:c>
      <x:c r="D68" s="142" t="str">
        <x:v>ส่งงาน</x:v>
      </x:c>
      <x:c r="E68" s="142" t="str">
        <x:v>End-to-End</x:v>
      </x:c>
      <x:c r="F68" s="142" t="str">
        <x:v>P0-Critical</x:v>
      </x:c>
      <x:c r="G68" s="139" t="str">
        <x:v>มี pending task</x:v>
      </x:c>
      <x:c r="H68" s="139" t="str">
        <x:v>แตะ ส่ง ✓</x:v>
      </x:c>
      <x:c r="I68" s="139" t="str">
        <x:v>HOMEWORK_PENDING</x:v>
      </x:c>
      <x:c r="J68" s="139" t="str">
        <x:v>งานหายทันทีและไป Score วิชาถูก/type เดิม</x:v>
      </x:c>
      <x:c r="K68" s="139" t="str">
        <x:v>PATCH finish; GET scores</x:v>
      </x:c>
      <x:c r="L68" s="139" t="str">
        <x:v>ทุกขนาดที่รองรับ</x:v>
      </x:c>
      <x:c r="M68" s="145"/>
      <x:c r="N68" s="145" t="str">
        <x:v>Not Run</x:v>
      </x:c>
      <x:c r="O68" s="145"/>
      <x:c r="P68" s="145"/>
      <x:c r="Q68" s="145"/>
      <x:c r="R68" s="148"/>
      <x:c r="S68" s="145"/>
    </x:row>
    <x:row r="69" ht="58" customHeight="1">
      <x:c r="A69" s="142" t="str">
        <x:v>MB-063</x:v>
      </x:c>
      <x:c r="B69" s="142" t="str">
        <x:v>REQ-MB-HOMEWORK</x:v>
      </x:c>
      <x:c r="C69" s="142" t="str">
        <x:v>Homework</x:v>
      </x:c>
      <x:c r="D69" s="142" t="str">
        <x:v>ส่งครบ vs ไม่เคยมีงาน</x:v>
      </x:c>
      <x:c r="E69" s="142" t="str">
        <x:v>Business Rule</x:v>
      </x:c>
      <x:c r="F69" s="142" t="str">
        <x:v>P1-High</x:v>
      </x:c>
      <x:c r="G69" s="139" t="str">
        <x:v>ทดสอบสองเทอมจำลอง</x:v>
      </x:c>
      <x:c r="H69" s="139" t="str">
        <x:v>เปิด Homework ในสอง state</x:v>
      </x:c>
      <x:c r="I69" s="139" t="str">
        <x:v>ALL_COMPLETED / NEVER_CREATED</x:v>
      </x:c>
      <x:c r="J69" s="139" t="str">
        <x:v>แสดงส่งครบเฉพาะเคยมีงานและ completed ทั้งหมด</x:v>
      </x:c>
      <x:c r="K69" s="139" t="str">
        <x:v>-</x:v>
      </x:c>
      <x:c r="L69" s="139" t="str">
        <x:v>ทุกขนาดที่รองรับ</x:v>
      </x:c>
      <x:c r="M69" s="145"/>
      <x:c r="N69" s="145" t="str">
        <x:v>Not Run</x:v>
      </x:c>
      <x:c r="O69" s="145"/>
      <x:c r="P69" s="145"/>
      <x:c r="Q69" s="145"/>
      <x:c r="R69" s="148"/>
      <x:c r="S69" s="145"/>
    </x:row>
    <x:row r="70" ht="58" customHeight="1">
      <x:c r="A70" s="142" t="str">
        <x:v>MB-064</x:v>
      </x:c>
      <x:c r="B70" s="142" t="str">
        <x:v>REQ-MB-TIMER</x:v>
      </x:c>
      <x:c r="C70" s="142" t="str">
        <x:v>Timer</x:v>
      </x:c>
      <x:c r="D70" s="142" t="str">
        <x:v>ไม่มีเทอม</x:v>
      </x:c>
      <x:c r="E70" s="142" t="str">
        <x:v>Functional</x:v>
      </x:c>
      <x:c r="F70" s="142" t="str">
        <x:v>P0-Critical</x:v>
      </x:c>
      <x:c r="G70" s="139" t="str">
        <x:v>ไม่มี term</x:v>
      </x:c>
      <x:c r="H70" s="139" t="str">
        <x:v>เปิด Timer</x:v>
      </x:c>
      <x:c r="I70" s="139" t="str">
        <x:v>NO_CURRENT_TERM</x:v>
      </x:c>
      <x:c r="J70" s="139" t="str">
        <x:v>shared no-term state ขนาด/ตำแหน่งเดียวกับ Score/Homework/Test</x:v>
      </x:c>
      <x:c r="K70" s="139" t="str">
        <x:v>-</x:v>
      </x:c>
      <x:c r="L70" s="139" t="str">
        <x:v>ทุกขนาดที่รองรับ</x:v>
      </x:c>
      <x:c r="M70" s="145"/>
      <x:c r="N70" s="145" t="str">
        <x:v>Not Run</x:v>
      </x:c>
      <x:c r="O70" s="145"/>
      <x:c r="P70" s="145"/>
      <x:c r="Q70" s="145"/>
      <x:c r="R70" s="148"/>
      <x:c r="S70" s="145"/>
    </x:row>
    <x:row r="71" ht="58" customHeight="1">
      <x:c r="A71" s="142" t="str">
        <x:v>MB-065</x:v>
      </x:c>
      <x:c r="B71" s="142" t="str">
        <x:v>REQ-MB-TIMER</x:v>
      </x:c>
      <x:c r="C71" s="142" t="str">
        <x:v>Timer</x:v>
      </x:c>
      <x:c r="D71" s="142" t="str">
        <x:v>โหลด Setup/Dashboard</x:v>
      </x:c>
      <x:c r="E71" s="142" t="str">
        <x:v>Integration</x:v>
      </x:c>
      <x:c r="F71" s="142" t="str">
        <x:v>P0-Critical</x:v>
      </x:c>
      <x:c r="G71" s="139" t="str">
        <x:v>มี term</x:v>
      </x:c>
      <x:c r="H71" s="139" t="str">
        <x:v>เปิด Timer</x:v>
      </x:c>
      <x:c r="I71" s="139" t="str">
        <x:v>Subjects/study_types/history</x:v>
      </x:c>
      <x:c r="J71" s="139" t="str">
        <x:v>แสดง Timer Statistics History ตรง API</x:v>
      </x:c>
      <x:c r="K71" s="139" t="str">
        <x:v>GET timer setup/dashboard</x:v>
      </x:c>
      <x:c r="L71" s="139" t="str">
        <x:v>ทุกขนาดที่รองรับ</x:v>
      </x:c>
      <x:c r="M71" s="145"/>
      <x:c r="N71" s="145" t="str">
        <x:v>Not Run</x:v>
      </x:c>
      <x:c r="O71" s="145"/>
      <x:c r="P71" s="145"/>
      <x:c r="Q71" s="145"/>
      <x:c r="R71" s="148"/>
      <x:c r="S71" s="145"/>
    </x:row>
    <x:row r="72" ht="58" customHeight="1">
      <x:c r="A72" s="142" t="str">
        <x:v>MB-066</x:v>
      </x:c>
      <x:c r="B72" s="142" t="str">
        <x:v>REQ-MB-TIMER</x:v>
      </x:c>
      <x:c r="C72" s="142" t="str">
        <x:v>Timer</x:v>
      </x:c>
      <x:c r="D72" s="142" t="str">
        <x:v>Dropdown/Validation</x:v>
      </x:c>
      <x:c r="E72" s="142" t="str">
        <x:v>Validation</x:v>
      </x:c>
      <x:c r="F72" s="142" t="str">
        <x:v>P1-High</x:v>
      </x:c>
      <x:c r="G72" s="139" t="str">
        <x:v>ยังไม่เลือก</x:v>
      </x:c>
      <x:c r="H72" s="139" t="str">
        <x:v>เปิด dropdown ให้ครบและกด Start โดยไม่เลือก</x:v>
      </x:c>
      <x:c r="I72" s="139" t="str">
        <x:v>Many options</x:v>
      </x:c>
      <x:c r="J72" s="139" t="str">
        <x:v>รายการเลื่อนได้ เลือกได้ และห้าม start เมื่อไม่ครบ</x:v>
      </x:c>
      <x:c r="K72" s="139" t="str">
        <x:v>-</x:v>
      </x:c>
      <x:c r="L72" s="139" t="str">
        <x:v>ทุกขนาดที่รองรับ</x:v>
      </x:c>
      <x:c r="M72" s="145"/>
      <x:c r="N72" s="145" t="str">
        <x:v>Not Run</x:v>
      </x:c>
      <x:c r="O72" s="145"/>
      <x:c r="P72" s="145"/>
      <x:c r="Q72" s="145"/>
      <x:c r="R72" s="148"/>
      <x:c r="S72" s="145"/>
    </x:row>
    <x:row r="73" ht="58" customHeight="1">
      <x:c r="A73" s="142" t="str">
        <x:v>MB-067</x:v>
      </x:c>
      <x:c r="B73" s="142" t="str">
        <x:v>REQ-MB-TIMER</x:v>
      </x:c>
      <x:c r="C73" s="142" t="str">
        <x:v>Timer</x:v>
      </x:c>
      <x:c r="D73" s="142" t="str">
        <x:v>Start</x:v>
      </x:c>
      <x:c r="E73" s="142" t="str">
        <x:v>End-to-End</x:v>
      </x:c>
      <x:c r="F73" s="142" t="str">
        <x:v>P0-Critical</x:v>
      </x:c>
      <x:c r="G73" s="139" t="str">
        <x:v>เลือก subject/study type</x:v>
      </x:c>
      <x:c r="H73" s="139" t="str">
        <x:v>แตะ Start</x:v>
      </x:c>
      <x:c r="I73" s="139" t="str">
        <x:v>BI/Flashcards</x:v>
      </x:c>
      <x:c r="J73" s="139" t="str">
        <x:v>สร้าง session ครั้งเดียวและเวลาเดินแม้ widget rebuild</x:v>
      </x:c>
      <x:c r="K73" s="139" t="str">
        <x:v>POST session</x:v>
      </x:c>
      <x:c r="L73" s="139" t="str">
        <x:v>ทุกขนาดที่รองรับ</x:v>
      </x:c>
      <x:c r="M73" s="145"/>
      <x:c r="N73" s="145" t="str">
        <x:v>Not Run</x:v>
      </x:c>
      <x:c r="O73" s="145"/>
      <x:c r="P73" s="145"/>
      <x:c r="Q73" s="145"/>
      <x:c r="R73" s="148"/>
      <x:c r="S73" s="145"/>
    </x:row>
    <x:row r="74" ht="58" customHeight="1">
      <x:c r="A74" s="142" t="str">
        <x:v>MB-068</x:v>
      </x:c>
      <x:c r="B74" s="142" t="str">
        <x:v>REQ-MB-TIMER</x:v>
      </x:c>
      <x:c r="C74" s="142" t="str">
        <x:v>Timer</x:v>
      </x:c>
      <x:c r="D74" s="142" t="str">
        <x:v>Pause/Resume</x:v>
      </x:c>
      <x:c r="E74" s="142" t="str">
        <x:v>End-to-End</x:v>
      </x:c>
      <x:c r="F74" s="142" t="str">
        <x:v>P0-Critical</x:v>
      </x:c>
      <x:c r="G74" s="139" t="str">
        <x:v>running</x:v>
      </x:c>
      <x:c r="H74" s="139" t="str">
        <x:v>แตะ Pause รอ Resume</x:v>
      </x:c>
      <x:c r="I74" s="139" t="str">
        <x:v>Active session</x:v>
      </x:c>
      <x:c r="J74" s="139" t="str">
        <x:v>เวลา pause ไม่เพิ่มและ version ตรง server</x:v>
      </x:c>
      <x:c r="K74" s="139" t="str">
        <x:v>PATCH pause/resume</x:v>
      </x:c>
      <x:c r="L74" s="139" t="str">
        <x:v>ทุกขนาดที่รองรับ</x:v>
      </x:c>
      <x:c r="M74" s="145"/>
      <x:c r="N74" s="145" t="str">
        <x:v>Not Run</x:v>
      </x:c>
      <x:c r="O74" s="145"/>
      <x:c r="P74" s="145"/>
      <x:c r="Q74" s="145"/>
      <x:c r="R74" s="148"/>
      <x:c r="S74" s="145"/>
    </x:row>
    <x:row r="75" ht="58" customHeight="1">
      <x:c r="A75" s="142" t="str">
        <x:v>MB-069</x:v>
      </x:c>
      <x:c r="B75" s="142" t="str">
        <x:v>REQ-MB-TIMER</x:v>
      </x:c>
      <x:c r="C75" s="142" t="str">
        <x:v>Timer</x:v>
      </x:c>
      <x:c r="D75" s="142" t="str">
        <x:v>Finish</x:v>
      </x:c>
      <x:c r="E75" s="142" t="str">
        <x:v>End-to-End</x:v>
      </x:c>
      <x:c r="F75" s="142" t="str">
        <x:v>P0-Critical</x:v>
      </x:c>
      <x:c r="G75" s="139" t="str">
        <x:v>running/paused</x:v>
      </x:c>
      <x:c r="H75" s="139" t="str">
        <x:v>แตะ Finish ยืนยัน/ยกเลิก</x:v>
      </x:c>
      <x:c r="I75" s="139" t="str">
        <x:v>Active session</x:v>
      </x:c>
      <x:c r="J75" s="139" t="str">
        <x:v>Cancel คง session; confirm เพิ่มประวัติ/สถิติครั้งเดียว</x:v>
      </x:c>
      <x:c r="K75" s="139" t="str">
        <x:v>PATCH finish</x:v>
      </x:c>
      <x:c r="L75" s="139" t="str">
        <x:v>ทุกขนาดที่รองรับ</x:v>
      </x:c>
      <x:c r="M75" s="145"/>
      <x:c r="N75" s="145" t="str">
        <x:v>Not Run</x:v>
      </x:c>
      <x:c r="O75" s="145"/>
      <x:c r="P75" s="145"/>
      <x:c r="Q75" s="145"/>
      <x:c r="R75" s="148"/>
      <x:c r="S75" s="145"/>
    </x:row>
    <x:row r="76" ht="58" customHeight="1">
      <x:c r="A76" s="142" t="str">
        <x:v>MB-070</x:v>
      </x:c>
      <x:c r="B76" s="142" t="str">
        <x:v>REQ-MB-TIMER</x:v>
      </x:c>
      <x:c r="C76" s="142" t="str">
        <x:v>Timer</x:v>
      </x:c>
      <x:c r="D76" s="142" t="str">
        <x:v>Background/Screen lock</x:v>
      </x:c>
      <x:c r="E76" s="142" t="str">
        <x:v>Reliability</x:v>
      </x:c>
      <x:c r="F76" s="142" t="str">
        <x:v>P0-Critical</x:v>
      </x:c>
      <x:c r="G76" s="139" t="str">
        <x:v>running</x:v>
      </x:c>
      <x:c r="H76" s="139" t="str">
        <x:v>ส่งแอป background/ล็อกจอ 2 นาทีแล้วกลับ</x:v>
      </x:c>
      <x:c r="I76" s="139" t="str">
        <x:v>Mobile lifecycle</x:v>
      </x:c>
      <x:c r="J76" s="139" t="str">
        <x:v>เวลาอิง server/current time ไม่หยุดหรือเพิ่มซ้ำ</x:v>
      </x:c>
      <x:c r="K76" s="139" t="str">
        <x:v>-</x:v>
      </x:c>
      <x:c r="L76" s="139" t="str">
        <x:v>ทุกขนาดที่รองรับ</x:v>
      </x:c>
      <x:c r="M76" s="145"/>
      <x:c r="N76" s="145" t="str">
        <x:v>Not Run</x:v>
      </x:c>
      <x:c r="O76" s="145"/>
      <x:c r="P76" s="145"/>
      <x:c r="Q76" s="145"/>
      <x:c r="R76" s="148"/>
      <x:c r="S76" s="145"/>
    </x:row>
    <x:row r="77" ht="58" customHeight="1">
      <x:c r="A77" s="142" t="str">
        <x:v>MB-071</x:v>
      </x:c>
      <x:c r="B77" s="142" t="str">
        <x:v>REQ-MB-TIMER</x:v>
      </x:c>
      <x:c r="C77" s="142" t="str">
        <x:v>Timer</x:v>
      </x:c>
      <x:c r="D77" s="142" t="str">
        <x:v>Recover active session</x:v>
      </x:c>
      <x:c r="E77" s="142" t="str">
        <x:v>Recovery</x:v>
      </x:c>
      <x:c r="F77" s="142" t="str">
        <x:v>P0-Critical</x:v>
      </x:c>
      <x:c r="G77" s="139" t="str">
        <x:v>มี active จากอุปกรณ์อื่น</x:v>
      </x:c>
      <x:c r="H77" s="139" t="str">
        <x:v>เปิด Timer เลือก recover action</x:v>
      </x:c>
      <x:c r="I77" s="139" t="str">
        <x:v>ACTIVE_SESSION</x:v>
      </x:c>
      <x:c r="J77" s="139" t="str">
        <x:v>modal ข้อมูลครบและ recover ตามเลือก</x:v>
      </x:c>
      <x:c r="K77" s="139" t="str">
        <x:v>GET active; PATCH recover</x:v>
      </x:c>
      <x:c r="L77" s="139" t="str">
        <x:v>ทุกขนาดที่รองรับ</x:v>
      </x:c>
      <x:c r="M77" s="145"/>
      <x:c r="N77" s="145" t="str">
        <x:v>Not Run</x:v>
      </x:c>
      <x:c r="O77" s="145"/>
      <x:c r="P77" s="145"/>
      <x:c r="Q77" s="145"/>
      <x:c r="R77" s="148"/>
      <x:c r="S77" s="145"/>
    </x:row>
    <x:row r="78" ht="58" customHeight="1">
      <x:c r="A78" s="142" t="str">
        <x:v>MB-072</x:v>
      </x:c>
      <x:c r="B78" s="142" t="str">
        <x:v>REQ-MB-TIMER</x:v>
      </x:c>
      <x:c r="C78" s="142" t="str">
        <x:v>Timer</x:v>
      </x:c>
      <x:c r="D78" s="142" t="str">
        <x:v>Offline/Heartbeat</x:v>
      </x:c>
      <x:c r="E78" s="142" t="str">
        <x:v>Recovery</x:v>
      </x:c>
      <x:c r="F78" s="142" t="str">
        <x:v>P1-High</x:v>
      </x:c>
      <x:c r="G78" s="139" t="str">
        <x:v>running</x:v>
      </x:c>
      <x:c r="H78" s="139" t="str">
        <x:v>ปิดเน็ตแล้วเปิดก่อน finish</x:v>
      </x:c>
      <x:c r="I78" s="139" t="str">
        <x:v>Offline 1 min</x:v>
      </x:c>
      <x:c r="J78" s="139" t="str">
        <x:v>UI แจ้งสถานะ ไม่สร้าง session ซ้ำ และ sync อย่างปลอดภัยเมื่อออนไลน์</x:v>
      </x:c>
      <x:c r="K78" s="139" t="str">
        <x:v>PATCH heartbeat</x:v>
      </x:c>
      <x:c r="L78" s="139" t="str">
        <x:v>ทุกขนาดที่รองรับ</x:v>
      </x:c>
      <x:c r="M78" s="145"/>
      <x:c r="N78" s="145" t="str">
        <x:v>Not Run</x:v>
      </x:c>
      <x:c r="O78" s="145"/>
      <x:c r="P78" s="145"/>
      <x:c r="Q78" s="145"/>
      <x:c r="R78" s="148"/>
      <x:c r="S78" s="145"/>
    </x:row>
    <x:row r="79" ht="58" customHeight="1">
      <x:c r="A79" s="142" t="str">
        <x:v>MB-073</x:v>
      </x:c>
      <x:c r="B79" s="142" t="str">
        <x:v>REQ-MB-TIMER</x:v>
      </x:c>
      <x:c r="C79" s="142" t="str">
        <x:v>Timer</x:v>
      </x:c>
      <x:c r="D79" s="142" t="str">
        <x:v>History/Stats/Responsive</x:v>
      </x:c>
      <x:c r="E79" s="142" t="str">
        <x:v>Calculation</x:v>
      </x:c>
      <x:c r="F79" s="142" t="str">
        <x:v>P1-High</x:v>
      </x:c>
      <x:c r="G79" s="139" t="str">
        <x:v>มี sessions</x:v>
      </x:c>
      <x:c r="H79" s="139" t="str">
        <x:v>ตรวจผลรวม/scroll จอเล็ก</x:v>
      </x:c>
      <x:c r="I79" s="139" t="str">
        <x:v>25+35+60 min</x:v>
      </x:c>
      <x:c r="J79" s="139" t="str">
        <x:v>คำนวณถูก เวลา 24h และทุก card เข้าถึงได้</x:v>
      </x:c>
      <x:c r="K79" s="139" t="str">
        <x:v>-</x:v>
      </x:c>
      <x:c r="L79" s="139" t="str">
        <x:v>ทุกขนาดที่รองรับ</x:v>
      </x:c>
      <x:c r="M79" s="145"/>
      <x:c r="N79" s="145" t="str">
        <x:v>Not Run</x:v>
      </x:c>
      <x:c r="O79" s="145"/>
      <x:c r="P79" s="145"/>
      <x:c r="Q79" s="145"/>
      <x:c r="R79" s="148"/>
      <x:c r="S79" s="145"/>
    </x:row>
    <x:row r="80" ht="58" customHeight="1">
      <x:c r="A80" s="142" t="str">
        <x:v>MB-074</x:v>
      </x:c>
      <x:c r="B80" s="142" t="str">
        <x:v>REQ-MB-TEST</x:v>
      </x:c>
      <x:c r="C80" s="142" t="str">
        <x:v>Test</x:v>
      </x:c>
      <x:c r="D80" s="142" t="str">
        <x:v>ไม่มีเทอม</x:v>
      </x:c>
      <x:c r="E80" s="142" t="str">
        <x:v>Functional</x:v>
      </x:c>
      <x:c r="F80" s="142" t="str">
        <x:v>P0-Critical</x:v>
      </x:c>
      <x:c r="G80" s="139" t="str">
        <x:v>ไม่มี term</x:v>
      </x:c>
      <x:c r="H80" s="139" t="str">
        <x:v>เปิด Test</x:v>
      </x:c>
      <x:c r="I80" s="139" t="str">
        <x:v>NO_CURRENT_TERM</x:v>
      </x:c>
      <x:c r="J80" s="139" t="str">
        <x:v>shared no-term state เหมือนหน้าอื่น</x:v>
      </x:c>
      <x:c r="K80" s="139" t="str">
        <x:v>-</x:v>
      </x:c>
      <x:c r="L80" s="139" t="str">
        <x:v>ทุกขนาดที่รองรับ</x:v>
      </x:c>
      <x:c r="M80" s="145"/>
      <x:c r="N80" s="145" t="str">
        <x:v>Not Run</x:v>
      </x:c>
      <x:c r="O80" s="145"/>
      <x:c r="P80" s="145"/>
      <x:c r="Q80" s="145"/>
      <x:c r="R80" s="148"/>
      <x:c r="S80" s="145"/>
    </x:row>
    <x:row r="81" ht="58" customHeight="1">
      <x:c r="A81" s="142" t="str">
        <x:v>MB-075</x:v>
      </x:c>
      <x:c r="B81" s="142" t="str">
        <x:v>REQ-MB-TEST</x:v>
      </x:c>
      <x:c r="C81" s="142" t="str">
        <x:v>Test</x:v>
      </x:c>
      <x:c r="D81" s="142" t="str">
        <x:v>โหลดข้อสอบ/Feedback/History</x:v>
      </x:c>
      <x:c r="E81" s="142" t="str">
        <x:v>Integration</x:v>
      </x:c>
      <x:c r="F81" s="142" t="str">
        <x:v>P0-Critical</x:v>
      </x:c>
      <x:c r="G81" s="139" t="str">
        <x:v>มี term</x:v>
      </x:c>
      <x:c r="H81" s="139" t="str">
        <x:v>เปิด Test</x:v>
      </x:c>
      <x:c r="I81" s="139" t="str">
        <x:v>EXAM_DATA</x:v>
      </x:c>
      <x:c r="J81" s="139" t="str">
        <x:v>ข้อมูลสามส่วนโหลดถูกและ skeleton/error/empty state แยกกัน</x:v>
      </x:c>
      <x:c r="K81" s="139" t="str">
        <x:v>GET exams/history/insights</x:v>
      </x:c>
      <x:c r="L81" s="139" t="str">
        <x:v>ทุกขนาดที่รองรับ</x:v>
      </x:c>
      <x:c r="M81" s="145"/>
      <x:c r="N81" s="145" t="str">
        <x:v>Not Run</x:v>
      </x:c>
      <x:c r="O81" s="145"/>
      <x:c r="P81" s="145"/>
      <x:c r="Q81" s="145"/>
      <x:c r="R81" s="148"/>
      <x:c r="S81" s="145"/>
    </x:row>
    <x:row r="82" ht="58" customHeight="1">
      <x:c r="A82" s="142" t="str">
        <x:v>MB-076</x:v>
      </x:c>
      <x:c r="B82" s="142" t="str">
        <x:v>REQ-MB-TEST</x:v>
      </x:c>
      <x:c r="C82" s="142" t="str">
        <x:v>Test</x:v>
      </x:c>
      <x:c r="D82" s="142" t="str">
        <x:v>Exam card/details</x:v>
      </x:c>
      <x:c r="E82" s="142" t="str">
        <x:v>Functional</x:v>
      </x:c>
      <x:c r="F82" s="142" t="str">
        <x:v>P1-High</x:v>
      </x:c>
      <x:c r="G82" s="139" t="str">
        <x:v>มี exam</x:v>
      </x:c>
      <x:c r="H82" s="139" t="str">
        <x:v>แตะ card เปิด detail</x:v>
      </x:c>
      <x:c r="I82" s="139" t="str">
        <x:v>BI 10Q 15min</x:v>
      </x:c>
      <x:c r="J82" s="139" t="str">
        <x:v>ข้อมูลครบ popup พอดีจอและปุ่มเริ่มไม่ถูก bottom tab บัง</x:v>
      </x:c>
      <x:c r="K82" s="139" t="str">
        <x:v>-</x:v>
      </x:c>
      <x:c r="L82" s="139" t="str">
        <x:v>ทุกขนาดที่รองรับ</x:v>
      </x:c>
      <x:c r="M82" s="145"/>
      <x:c r="N82" s="145" t="str">
        <x:v>Not Run</x:v>
      </x:c>
      <x:c r="O82" s="145"/>
      <x:c r="P82" s="145"/>
      <x:c r="Q82" s="145"/>
      <x:c r="R82" s="148"/>
      <x:c r="S82" s="145"/>
    </x:row>
    <x:row r="83" ht="58" customHeight="1">
      <x:c r="A83" s="142" t="str">
        <x:v>MB-077</x:v>
      </x:c>
      <x:c r="B83" s="142" t="str">
        <x:v>REQ-MB-TEST</x:v>
      </x:c>
      <x:c r="C83" s="142" t="str">
        <x:v>Test</x:v>
      </x:c>
      <x:c r="D83" s="142" t="str">
        <x:v>Start/progress/timer</x:v>
      </x:c>
      <x:c r="E83" s="142" t="str">
        <x:v>End-to-End</x:v>
      </x:c>
      <x:c r="F83" s="142" t="str">
        <x:v>P0-Critical</x:v>
      </x:c>
      <x:c r="G83" s="139" t="str">
        <x:v>exam พร้อม</x:v>
      </x:c>
      <x:c r="H83" s="139" t="str">
        <x:v>เริ่มข้อสอบ</x:v>
      </x:c>
      <x:c r="I83" s="139" t="str">
        <x:v>EXAM_BI_10Q</x:v>
      </x:c>
      <x:c r="J83" s="139" t="str">
        <x:v>คำถาม choices progress timer ถูก ไม่แสดงเฉลย</x:v>
      </x:c>
      <x:c r="K83" s="139" t="str">
        <x:v>GET exam detail</x:v>
      </x:c>
      <x:c r="L83" s="139" t="str">
        <x:v>ทุกขนาดที่รองรับ</x:v>
      </x:c>
      <x:c r="M83" s="145"/>
      <x:c r="N83" s="145" t="str">
        <x:v>Not Run</x:v>
      </x:c>
      <x:c r="O83" s="145"/>
      <x:c r="P83" s="145"/>
      <x:c r="Q83" s="145"/>
      <x:c r="R83" s="148"/>
      <x:c r="S83" s="145"/>
    </x:row>
    <x:row r="84" ht="58" customHeight="1">
      <x:c r="A84" s="142" t="str">
        <x:v>MB-078</x:v>
      </x:c>
      <x:c r="B84" s="142" t="str">
        <x:v>REQ-MB-TEST</x:v>
      </x:c>
      <x:c r="C84" s="142" t="str">
        <x:v>Test</x:v>
      </x:c>
      <x:c r="D84" s="142" t="str">
        <x:v>Choice states</x:v>
      </x:c>
      <x:c r="E84" s="142" t="str">
        <x:v>UI/UX</x:v>
      </x:c>
      <x:c r="F84" s="142" t="str">
        <x:v>P2-Medium</x:v>
      </x:c>
      <x:c r="G84" s="139" t="str">
        <x:v>อยู่ข้อสอบ</x:v>
      </x:c>
      <x:c r="H84" s="139" t="str">
        <x:v>แตะเปลี่ยน choice</x:v>
      </x:c>
      <x:c r="I84" s="139" t="str">
        <x:v>A-D</x:v>
      </x:c>
      <x:c r="J84" s="139" t="str">
        <x:v>สีเข้มพอ selected ชัด รองรับข้อความยาวและ accessibility label</x:v>
      </x:c>
      <x:c r="K84" s="139" t="str">
        <x:v>-</x:v>
      </x:c>
      <x:c r="L84" s="139" t="str">
        <x:v>ทุกขนาดที่รองรับ</x:v>
      </x:c>
      <x:c r="M84" s="145"/>
      <x:c r="N84" s="145" t="str">
        <x:v>Not Run</x:v>
      </x:c>
      <x:c r="O84" s="145"/>
      <x:c r="P84" s="145"/>
      <x:c r="Q84" s="145"/>
      <x:c r="R84" s="148"/>
      <x:c r="S84" s="145"/>
    </x:row>
    <x:row r="85" ht="58" customHeight="1">
      <x:c r="A85" s="142" t="str">
        <x:v>MB-079</x:v>
      </x:c>
      <x:c r="B85" s="142" t="str">
        <x:v>REQ-MB-TEST</x:v>
      </x:c>
      <x:c r="C85" s="142" t="str">
        <x:v>Test</x:v>
      </x:c>
      <x:c r="D85" s="142" t="str">
        <x:v>ห้าม Next เมื่อไม่ตอบ</x:v>
      </x:c>
      <x:c r="E85" s="142" t="str">
        <x:v>Validation</x:v>
      </x:c>
      <x:c r="F85" s="142" t="str">
        <x:v>P0-Critical</x:v>
      </x:c>
      <x:c r="G85" s="139" t="str">
        <x:v>ยังไม่เลือก</x:v>
      </x:c>
      <x:c r="H85" s="139" t="str">
        <x:v>แตะ Next</x:v>
      </x:c>
      <x:c r="I85" s="139" t="str">
        <x:v>No answer</x:v>
      </x:c>
      <x:c r="J85" s="139" t="str">
        <x:v>ข้อความแดงแสดงใต้คำตอบ อยู่ข้อเดิม และ reader อ่านได้</x:v>
      </x:c>
      <x:c r="K85" s="139" t="str">
        <x:v>-</x:v>
      </x:c>
      <x:c r="L85" s="139" t="str">
        <x:v>ทุกขนาดที่รองรับ</x:v>
      </x:c>
      <x:c r="M85" s="145"/>
      <x:c r="N85" s="145" t="str">
        <x:v>Not Run</x:v>
      </x:c>
      <x:c r="O85" s="145"/>
      <x:c r="P85" s="145"/>
      <x:c r="Q85" s="145"/>
      <x:c r="R85" s="148"/>
      <x:c r="S85" s="145"/>
    </x:row>
    <x:row r="86" ht="58" customHeight="1">
      <x:c r="A86" s="142" t="str">
        <x:v>MB-080</x:v>
      </x:c>
      <x:c r="B86" s="142" t="str">
        <x:v>REQ-MB-TEST</x:v>
      </x:c>
      <x:c r="C86" s="142" t="str">
        <x:v>Test</x:v>
      </x:c>
      <x:c r="D86" s="142" t="str">
        <x:v>Previous/State</x:v>
      </x:c>
      <x:c r="E86" s="142" t="str">
        <x:v>Functional</x:v>
      </x:c>
      <x:c r="F86" s="142" t="str">
        <x:v>P0-Critical</x:v>
      </x:c>
      <x:c r="G86" s="139" t="str">
        <x:v>ตอบหลายข้อ</x:v>
      </x:c>
      <x:c r="H86" s="139" t="str">
        <x:v>ย้อนกลับ/ไปต่อ</x:v>
      </x:c>
      <x:c r="I86" s="139" t="str">
        <x:v>Answers A,B,C</x:v>
      </x:c>
      <x:c r="J86" s="139" t="str">
        <x:v>จำคำตอบทุกข้อ progress ไม่ผิด</x:v>
      </x:c>
      <x:c r="K86" s="139" t="str">
        <x:v>-</x:v>
      </x:c>
      <x:c r="L86" s="139" t="str">
        <x:v>ทุกขนาดที่รองรับ</x:v>
      </x:c>
      <x:c r="M86" s="145"/>
      <x:c r="N86" s="145" t="str">
        <x:v>Not Run</x:v>
      </x:c>
      <x:c r="O86" s="145"/>
      <x:c r="P86" s="145"/>
      <x:c r="Q86" s="145"/>
      <x:c r="R86" s="148"/>
      <x:c r="S86" s="145"/>
    </x:row>
    <x:row r="87" ht="58" customHeight="1">
      <x:c r="A87" s="142" t="str">
        <x:v>MB-081</x:v>
      </x:c>
      <x:c r="B87" s="142" t="str">
        <x:v>REQ-MB-TEST</x:v>
      </x:c>
      <x:c r="C87" s="142" t="str">
        <x:v>Test</x:v>
      </x:c>
      <x:c r="D87" s="142" t="str">
        <x:v>App lifecycle ระหว่างสอบ</x:v>
      </x:c>
      <x:c r="E87" s="142" t="str">
        <x:v>Reliability</x:v>
      </x:c>
      <x:c r="F87" s="142" t="str">
        <x:v>P0-Critical</x:v>
      </x:c>
      <x:c r="G87" s="139" t="str">
        <x:v>กำลังสอบ</x:v>
      </x:c>
      <x:c r="H87" s="139" t="str">
        <x:v>background/rotate/รับสายแล้วกลับ</x:v>
      </x:c>
      <x:c r="I87" s="139" t="str">
        <x:v>Mobile lifecycle</x:v>
      </x:c>
      <x:c r="J87" s="139" t="str">
        <x:v>เวลายังถูก คำตอบไม่หาย และไม่เปิด exam ซ้ำ</x:v>
      </x:c>
      <x:c r="K87" s="139" t="str">
        <x:v>-</x:v>
      </x:c>
      <x:c r="L87" s="139" t="str">
        <x:v>ทุกขนาดที่รองรับ</x:v>
      </x:c>
      <x:c r="M87" s="145"/>
      <x:c r="N87" s="145" t="str">
        <x:v>Not Run</x:v>
      </x:c>
      <x:c r="O87" s="145"/>
      <x:c r="P87" s="145"/>
      <x:c r="Q87" s="145"/>
      <x:c r="R87" s="148"/>
      <x:c r="S87" s="145"/>
    </x:row>
    <x:row r="88" ht="58" customHeight="1">
      <x:c r="A88" s="142" t="str">
        <x:v>MB-082</x:v>
      </x:c>
      <x:c r="B88" s="142" t="str">
        <x:v>REQ-MB-TEST</x:v>
      </x:c>
      <x:c r="C88" s="142" t="str">
        <x:v>Test</x:v>
      </x:c>
      <x:c r="D88" s="142" t="str">
        <x:v>หมดเวลา</x:v>
      </x:c>
      <x:c r="E88" s="142" t="str">
        <x:v>Business Rule</x:v>
      </x:c>
      <x:c r="F88" s="142" t="str">
        <x:v>P0-Critical</x:v>
      </x:c>
      <x:c r="G88" s="139" t="str">
        <x:v>time limit ใกล้หมด</x:v>
      </x:c>
      <x:c r="H88" s="139" t="str">
        <x:v>รอ 00:00</x:v>
      </x:c>
      <x:c r="I88" s="139" t="str">
        <x:v>Short timer</x:v>
      </x:c>
      <x:c r="J88" s="139" t="str">
        <x:v>หยุดตอบและ submit/แจ้งตามกติกาครั้งเดียว</x:v>
      </x:c>
      <x:c r="K88" s="139" t="str">
        <x:v>-</x:v>
      </x:c>
      <x:c r="L88" s="139" t="str">
        <x:v>ทุกขนาดที่รองรับ</x:v>
      </x:c>
      <x:c r="M88" s="145"/>
      <x:c r="N88" s="145" t="str">
        <x:v>Not Run</x:v>
      </x:c>
      <x:c r="O88" s="145"/>
      <x:c r="P88" s="145"/>
      <x:c r="Q88" s="145"/>
      <x:c r="R88" s="148"/>
      <x:c r="S88" s="145"/>
    </x:row>
    <x:row r="89" ht="58" customHeight="1">
      <x:c r="A89" s="142" t="str">
        <x:v>MB-083</x:v>
      </x:c>
      <x:c r="B89" s="142" t="str">
        <x:v>REQ-MB-TEST</x:v>
      </x:c>
      <x:c r="C89" s="142" t="str">
        <x:v>Test</x:v>
      </x:c>
      <x:c r="D89" s="142" t="str">
        <x:v>Submit/Result</x:v>
      </x:c>
      <x:c r="E89" s="142" t="str">
        <x:v>End-to-End</x:v>
      </x:c>
      <x:c r="F89" s="142" t="str">
        <x:v>P0-Critical</x:v>
      </x:c>
      <x:c r="G89" s="139" t="str">
        <x:v>ตอบครบ</x:v>
      </x:c>
      <x:c r="H89" s="139" t="str">
        <x:v>แตะ Submit ยืนยัน</x:v>
      </x:c>
      <x:c r="I89" s="139" t="str">
        <x:v>Completed answers</x:v>
      </x:c>
      <x:c r="J89" s="139" t="str">
        <x:v>ส่งครั้งเดียว ผล raw/max/percentage ถูกและปิด popup กลับหน้าได้</x:v>
      </x:c>
      <x:c r="K89" s="139" t="str">
        <x:v>POST exam submission</x:v>
      </x:c>
      <x:c r="L89" s="139" t="str">
        <x:v>ทุกขนาดที่รองรับ</x:v>
      </x:c>
      <x:c r="M89" s="145"/>
      <x:c r="N89" s="145" t="str">
        <x:v>Not Run</x:v>
      </x:c>
      <x:c r="O89" s="145"/>
      <x:c r="P89" s="145"/>
      <x:c r="Q89" s="145"/>
      <x:c r="R89" s="148"/>
      <x:c r="S89" s="145"/>
    </x:row>
    <x:row r="90" ht="58" customHeight="1">
      <x:c r="A90" s="142" t="str">
        <x:v>MB-084</x:v>
      </x:c>
      <x:c r="B90" s="142" t="str">
        <x:v>REQ-MB-TEST</x:v>
      </x:c>
      <x:c r="C90" s="142" t="str">
        <x:v>Test</x:v>
      </x:c>
      <x:c r="D90" s="142" t="str">
        <x:v>Checkpoint visibility</x:v>
      </x:c>
      <x:c r="E90" s="142" t="str">
        <x:v>Business Rule</x:v>
      </x:c>
      <x:c r="F90" s="142" t="str">
        <x:v>P0-Critical</x:v>
      </x:c>
      <x:c r="G90" s="139" t="str">
        <x:v>ส่งสำเร็จ</x:v>
      </x:c>
      <x:c r="H90" s="139" t="str">
        <x:v>restart app ก่อน/หลัง next checkpoint</x:v>
      </x:c>
      <x:c r="I90" s="139" t="str">
        <x:v>exam_checkpoint</x:v>
      </x:c>
      <x:c r="J90" s="139" t="str">
        <x:v>ก่อนกำหนด exam หาย; ถึงกำหนดแสดงรอบใหม่</x:v>
      </x:c>
      <x:c r="K90" s="139" t="str">
        <x:v>GET exams/checkpoint</x:v>
      </x:c>
      <x:c r="L90" s="139" t="str">
        <x:v>ทุกขนาดที่รองรับ</x:v>
      </x:c>
      <x:c r="M90" s="145"/>
      <x:c r="N90" s="145" t="str">
        <x:v>Not Run</x:v>
      </x:c>
      <x:c r="O90" s="145"/>
      <x:c r="P90" s="145"/>
      <x:c r="Q90" s="145"/>
      <x:c r="R90" s="148"/>
      <x:c r="S90" s="145"/>
    </x:row>
    <x:row r="91" ht="58" customHeight="1">
      <x:c r="A91" s="142" t="str">
        <x:v>MB-085</x:v>
      </x:c>
      <x:c r="B91" s="142" t="str">
        <x:v>REQ-MB-TEST</x:v>
      </x:c>
      <x:c r="C91" s="142" t="str">
        <x:v>Test</x:v>
      </x:c>
      <x:c r="D91" s="142" t="str">
        <x:v>Weak topics/Top 3</x:v>
      </x:c>
      <x:c r="E91" s="142" t="str">
        <x:v>Calculation</x:v>
      </x:c>
      <x:c r="F91" s="142" t="str">
        <x:v>P0-Critical</x:v>
      </x:c>
      <x:c r="G91" s="139" t="str">
        <x:v>มี part percentages</x:v>
      </x:c>
      <x:c r="H91" s="139" t="str">
        <x:v>เปิด Feedback</x:v>
      </x:c>
      <x:c r="I91" s="139" t="str">
        <x:v>10%,20%,30%,50%</x:v>
      </x:c>
      <x:c r="J91" s="139" t="str">
        <x:v>ต่ำกว่า 50 เท่านั้น; แสดง 3 เรื่องอ่อนที่สุดเรียงถูก</x:v>
      </x:c>
      <x:c r="K91" s="139" t="str">
        <x:v>-</x:v>
      </x:c>
      <x:c r="L91" s="139" t="str">
        <x:v>ทุกขนาดที่รองรับ</x:v>
      </x:c>
      <x:c r="M91" s="145"/>
      <x:c r="N91" s="145" t="str">
        <x:v>Not Run</x:v>
      </x:c>
      <x:c r="O91" s="145"/>
      <x:c r="P91" s="145"/>
      <x:c r="Q91" s="145"/>
      <x:c r="R91" s="148"/>
      <x:c r="S91" s="145"/>
    </x:row>
    <x:row r="92" ht="58" customHeight="1">
      <x:c r="A92" s="142" t="str">
        <x:v>MB-086</x:v>
      </x:c>
      <x:c r="B92" s="142" t="str">
        <x:v>REQ-MB-TEST</x:v>
      </x:c>
      <x:c r="C92" s="142" t="str">
        <x:v>Test</x:v>
      </x:c>
      <x:c r="D92" s="142" t="str">
        <x:v>Study methods/Checkpoint</x:v>
      </x:c>
      <x:c r="E92" s="142" t="str">
        <x:v>Integration</x:v>
      </x:c>
      <x:c r="F92" s="142" t="str">
        <x:v>P0-Critical</x:v>
      </x:c>
      <x:c r="G92" s="139" t="str">
        <x:v>มี weak topics</x:v>
      </x:c>
      <x:c r="H92" s="139" t="str">
        <x:v>ตรวจ recommendation</x:v>
      </x:c>
      <x:c r="I92" s="139" t="str">
        <x:v>study_type_id per part</x:v>
      </x:c>
      <x:c r="J92" s="139" t="str">
        <x:v>แนะนำ 3 วิธีตรง study_types และรอบถัดไป/เวลาเพิ่มตาม weak count</x:v>
      </x:c>
      <x:c r="K92" s="139" t="str">
        <x:v>GET insights; study_types; exam_checkpoint</x:v>
      </x:c>
      <x:c r="L92" s="139" t="str">
        <x:v>ทุกขนาดที่รองรับ</x:v>
      </x:c>
      <x:c r="M92" s="145"/>
      <x:c r="N92" s="145" t="str">
        <x:v>Not Run</x:v>
      </x:c>
      <x:c r="O92" s="145"/>
      <x:c r="P92" s="145"/>
      <x:c r="Q92" s="145"/>
      <x:c r="R92" s="148"/>
      <x:c r="S92" s="145"/>
    </x:row>
    <x:row r="93" ht="58" customHeight="1">
      <x:c r="A93" s="142" t="str">
        <x:v>MB-087</x:v>
      </x:c>
      <x:c r="B93" s="142" t="str">
        <x:v>REQ-MB-TEST</x:v>
      </x:c>
      <x:c r="C93" s="142" t="str">
        <x:v>Test</x:v>
      </x:c>
      <x:c r="D93" s="142" t="str">
        <x:v>History per subject</x:v>
      </x:c>
      <x:c r="E93" s="142" t="str">
        <x:v>Functional</x:v>
      </x:c>
      <x:c r="F93" s="142" t="str">
        <x:v>P1-High</x:v>
      </x:c>
      <x:c r="G93" s="139" t="str">
        <x:v>มีหลายวิชา/attempts</x:v>
      </x:c>
      <x:c r="H93" s="139" t="str">
        <x:v>สลับ Subject tabs</x:v>
      </x:c>
      <x:c r="I93" s="139" t="str">
        <x:v>BI 3 attempts</x:v>
      </x:c>
      <x:c r="J93" s="139" t="str">
        <x:v>แสดงครั้งที่ คะแนน raw/max และอ่อนที่สุด 1 เรื่องของวิชานั้น</x:v>
      </x:c>
      <x:c r="K93" s="139" t="str">
        <x:v>-</x:v>
      </x:c>
      <x:c r="L93" s="139" t="str">
        <x:v>ทุกขนาดที่รองรับ</x:v>
      </x:c>
      <x:c r="M93" s="145"/>
      <x:c r="N93" s="145" t="str">
        <x:v>Not Run</x:v>
      </x:c>
      <x:c r="O93" s="145"/>
      <x:c r="P93" s="145"/>
      <x:c r="Q93" s="145"/>
      <x:c r="R93" s="148"/>
      <x:c r="S93" s="145"/>
    </x:row>
    <x:row r="94" ht="58" customHeight="1">
      <x:c r="A94" s="142" t="str">
        <x:v>MB-088</x:v>
      </x:c>
      <x:c r="B94" s="142" t="str">
        <x:v>REQ-MB-TEST</x:v>
      </x:c>
      <x:c r="C94" s="142" t="str">
        <x:v>Test</x:v>
      </x:c>
      <x:c r="D94" s="142" t="str">
        <x:v>Network/Double submit</x:v>
      </x:c>
      <x:c r="E94" s="142" t="str">
        <x:v>Recovery</x:v>
      </x:c>
      <x:c r="F94" s="142" t="str">
        <x:v>P0-Critical</x:v>
      </x:c>
      <x:c r="G94" s="139" t="str">
        <x:v>เน็ตไม่เสถียร</x:v>
      </x:c>
      <x:c r="H94" s="139" t="str">
        <x:v>แตะ Submit ซ้ำ/timeout แล้ว retry</x:v>
      </x:c>
      <x:c r="I94" s="139" t="str">
        <x:v>Timeout</x:v>
      </x:c>
      <x:c r="J94" s="139" t="str">
        <x:v>ไม่เกิด history/checkpoint ซ้ำและแสดงผลล่าสุดได้</x:v>
      </x:c>
      <x:c r="K94" s="139" t="str">
        <x:v>-</x:v>
      </x:c>
      <x:c r="L94" s="139" t="str">
        <x:v>ทุกขนาดที่รองรับ</x:v>
      </x:c>
      <x:c r="M94" s="145"/>
      <x:c r="N94" s="145" t="str">
        <x:v>Not Run</x:v>
      </x:c>
      <x:c r="O94" s="145"/>
      <x:c r="P94" s="145"/>
      <x:c r="Q94" s="145"/>
      <x:c r="R94" s="148"/>
      <x:c r="S94" s="145"/>
    </x:row>
    <x:row r="95" ht="58" customHeight="1">
      <x:c r="A95" s="142" t="str">
        <x:v>MB-089</x:v>
      </x:c>
      <x:c r="B95" s="142" t="str">
        <x:v>REQ-MB-TEST</x:v>
      </x:c>
      <x:c r="C95" s="142" t="str">
        <x:v>Test</x:v>
      </x:c>
      <x:c r="D95" s="142" t="str">
        <x:v>Compact phone/Scroll</x:v>
      </x:c>
      <x:c r="E95" s="142" t="str">
        <x:v>Compatibility</x:v>
      </x:c>
      <x:c r="F95" s="142" t="str">
        <x:v>P1-High</x:v>
      </x:c>
      <x:c r="G95" s="139" t="str">
        <x:v>ข้อมูลยาว</x:v>
      </x:c>
      <x:c r="H95" s="139" t="str">
        <x:v>ทดสอบ 360x640 และ font scaling</x:v>
      </x:c>
      <x:c r="I95" s="139" t="str">
        <x:v>Small phone, 1.3x font</x:v>
      </x:c>
      <x:c r="J95" s="139" t="str">
        <x:v>ไม่มี overflow ข้อสอบ/ประวัติ scroll ได้และแท็บไม่บัง</x:v>
      </x:c>
      <x:c r="K95" s="139" t="str">
        <x:v>-</x:v>
      </x:c>
      <x:c r="L95" s="139" t="str">
        <x:v>ทุกขนาดที่รองรับ</x:v>
      </x:c>
      <x:c r="M95" s="145"/>
      <x:c r="N95" s="145" t="str">
        <x:v>Not Run</x:v>
      </x:c>
      <x:c r="O95" s="145"/>
      <x:c r="P95" s="145"/>
      <x:c r="Q95" s="145"/>
      <x:c r="R95" s="148"/>
      <x:c r="S95" s="145"/>
    </x:row>
    <x:row r="96" ht="58" customHeight="1">
      <x:c r="A96" s="142" t="str">
        <x:v>MB-090</x:v>
      </x:c>
      <x:c r="B96" s="142" t="str">
        <x:v>REQ-MB-SHARED-MOBILE</x:v>
      </x:c>
      <x:c r="C96" s="142" t="str">
        <x:v>Shared Mobile</x:v>
      </x:c>
      <x:c r="D96" s="142" t="str">
        <x:v>Bottom navigation ทุกหน้า</x:v>
      </x:c>
      <x:c r="E96" s="142" t="str">
        <x:v>Navigation</x:v>
      </x:c>
      <x:c r="F96" s="142" t="str">
        <x:v>P0-Critical</x:v>
      </x:c>
      <x:c r="G96" s="139" t="str">
        <x:v>ล็อกอินแล้ว</x:v>
      </x:c>
      <x:c r="H96" s="139" t="str">
        <x:v>วน Main→Score→Homework→Timer→Test→Main</x:v>
      </x:c>
      <x:c r="I96" s="139" t="str">
        <x:v>-</x:v>
      </x:c>
      <x:c r="J96" s="139" t="str">
        <x:v>route ถูก active tab ถูก และเปลี่ยนหน้าไม่มี transition เด้ง</x:v>
      </x:c>
      <x:c r="K96" s="139" t="str">
        <x:v>-</x:v>
      </x:c>
      <x:c r="L96" s="139" t="str">
        <x:v>ทุกขนาดที่รองรับ</x:v>
      </x:c>
      <x:c r="M96" s="145"/>
      <x:c r="N96" s="145" t="str">
        <x:v>Not Run</x:v>
      </x:c>
      <x:c r="O96" s="145"/>
      <x:c r="P96" s="145"/>
      <x:c r="Q96" s="145"/>
      <x:c r="R96" s="148"/>
      <x:c r="S96" s="145"/>
    </x:row>
    <x:row r="97" ht="58" customHeight="1">
      <x:c r="A97" s="142" t="str">
        <x:v>MB-091</x:v>
      </x:c>
      <x:c r="B97" s="142" t="str">
        <x:v>REQ-MB-SHARED-MOBILE</x:v>
      </x:c>
      <x:c r="C97" s="142" t="str">
        <x:v>Shared Mobile</x:v>
      </x:c>
      <x:c r="D97" s="142" t="str">
        <x:v>สถานะต้องมีเทอม</x:v>
      </x:c>
      <x:c r="E97" s="142" t="str">
        <x:v>Regression</x:v>
      </x:c>
      <x:c r="F97" s="142" t="str">
        <x:v>P0-Critical</x:v>
      </x:c>
      <x:c r="G97" s="139" t="str">
        <x:v>ไม่มี term</x:v>
      </x:c>
      <x:c r="H97" s="139" t="str">
        <x:v>เปิด Score/Homework/Timer/Test</x:v>
      </x:c>
      <x:c r="I97" s="139" t="str">
        <x:v>NO_CURRENT_TERM</x:v>
      </x:c>
      <x:c r="J97" s="139" t="str">
        <x:v>ทุกหน้าใช้ข้อความ/ขนาด/ตำแหน่งเดียวกันและไม่มี add action ที่ผิดเงื่อนไข</x:v>
      </x:c>
      <x:c r="K97" s="139" t="str">
        <x:v>-</x:v>
      </x:c>
      <x:c r="L97" s="139" t="str">
        <x:v>ทุกขนาดที่รองรับ</x:v>
      </x:c>
      <x:c r="M97" s="145"/>
      <x:c r="N97" s="145" t="str">
        <x:v>Not Run</x:v>
      </x:c>
      <x:c r="O97" s="145"/>
      <x:c r="P97" s="145"/>
      <x:c r="Q97" s="145"/>
      <x:c r="R97" s="148"/>
      <x:c r="S97" s="145"/>
    </x:row>
    <x:row r="98" ht="58" customHeight="1">
      <x:c r="A98" s="142" t="str">
        <x:v>MB-092</x:v>
      </x:c>
      <x:c r="B98" s="142" t="str">
        <x:v>REQ-MB-SHARED-MOBILE</x:v>
      </x:c>
      <x:c r="C98" s="142" t="str">
        <x:v>Shared Mobile</x:v>
      </x:c>
      <x:c r="D98" s="142" t="str">
        <x:v>Custom dropdown</x:v>
      </x:c>
      <x:c r="E98" s="142" t="str">
        <x:v>Regression</x:v>
      </x:c>
      <x:c r="F98" s="142" t="str">
        <x:v>P1-High</x:v>
      </x:c>
      <x:c r="G98" s="139" t="str">
        <x:v>มี dropdown ในหลายหน้า</x:v>
      </x:c>
      <x:c r="H98" s="139" t="str">
        <x:v>เปิดขณะ scroll, เลือกท้ายรายการ, กดนอกพื้นที่</x:v>
      </x:c>
      <x:c r="I98" s="139" t="str">
        <x:v>Long lists</x:v>
      </x:c>
      <x:c r="J98" s="139" t="str">
        <x:v>overlay ติด anchor เลื่อนได้ครบ ปิดถูก และหน้าหลังไม่ scroll แทรก</x:v>
      </x:c>
      <x:c r="K98" s="139" t="str">
        <x:v>-</x:v>
      </x:c>
      <x:c r="L98" s="139" t="str">
        <x:v>ทุกขนาดที่รองรับ</x:v>
      </x:c>
      <x:c r="M98" s="145"/>
      <x:c r="N98" s="145" t="str">
        <x:v>Not Run</x:v>
      </x:c>
      <x:c r="O98" s="145"/>
      <x:c r="P98" s="145"/>
      <x:c r="Q98" s="145"/>
      <x:c r="R98" s="148"/>
      <x:c r="S98" s="145"/>
    </x:row>
    <x:row r="99" ht="58" customHeight="1">
      <x:c r="A99" s="142" t="str">
        <x:v>MB-093</x:v>
      </x:c>
      <x:c r="B99" s="142" t="str">
        <x:v>REQ-MB-SHARED-MOBILE</x:v>
      </x:c>
      <x:c r="C99" s="142" t="str">
        <x:v>Shared Mobile</x:v>
      </x:c>
      <x:c r="D99" s="142" t="str">
        <x:v>Date/Time picker</x:v>
      </x:c>
      <x:c r="E99" s="142" t="str">
        <x:v>Regression</x:v>
      </x:c>
      <x:c r="F99" s="142" t="str">
        <x:v>P1-High</x:v>
      </x:c>
      <x:c r="G99" s="139" t="str">
        <x:v>เปิด picker ใน SignIn/Main/Homework</x:v>
      </x:c>
      <x:c r="H99" s="139" t="str">
        <x:v>เลือกวัน/เวลา boundary</x:v>
      </x:c>
      <x:c r="I99" s="139" t="str">
        <x:v>00:00,23:59, leap day</x:v>
      </x:c>
      <x:c r="J99" s="139" t="str">
        <x:v>รูปแบบ/สีเดียวกัน ค่า 24h และ timezone ไม่เลื่อน</x:v>
      </x:c>
      <x:c r="K99" s="139" t="str">
        <x:v>-</x:v>
      </x:c>
      <x:c r="L99" s="139" t="str">
        <x:v>ทุกขนาดที่รองรับ</x:v>
      </x:c>
      <x:c r="M99" s="145"/>
      <x:c r="N99" s="145" t="str">
        <x:v>Not Run</x:v>
      </x:c>
      <x:c r="O99" s="145"/>
      <x:c r="P99" s="145"/>
      <x:c r="Q99" s="145"/>
      <x:c r="R99" s="148"/>
      <x:c r="S99" s="145"/>
    </x:row>
    <x:row r="100" ht="58" customHeight="1">
      <x:c r="A100" s="142" t="str">
        <x:v>MB-094</x:v>
      </x:c>
      <x:c r="B100" s="142" t="str">
        <x:v>REQ-MB-SHARED-MOBILE</x:v>
      </x:c>
      <x:c r="C100" s="142" t="str">
        <x:v>Shared Mobile</x:v>
      </x:c>
      <x:c r="D100" s="142" t="str">
        <x:v>API 401/500/Offline</x:v>
      </x:c>
      <x:c r="E100" s="142" t="str">
        <x:v>Recovery</x:v>
      </x:c>
      <x:c r="F100" s="142" t="str">
        <x:v>P0-Critical</x:v>
      </x:c>
      <x:c r="G100" s="139" t="str">
        <x:v>อยู่ทุกหน้า protected</x:v>
      </x:c>
      <x:c r="H100" s="139" t="str">
        <x:v>จำลอง 401,500,offline แล้ว Retry</x:v>
      </x:c>
      <x:c r="I100" s="139" t="str">
        <x:v>Network matrix</x:v>
      </x:c>
      <x:c r="J100" s="139" t="str">
        <x:v>401 refresh/logout ถูก; 500 ไม่ถูกตีความเป็น no-term; offline ไม่ crash</x:v>
      </x:c>
      <x:c r="K100" s="139" t="str">
        <x:v>-</x:v>
      </x:c>
      <x:c r="L100" s="139" t="str">
        <x:v>ทุกขนาดที่รองรับ</x:v>
      </x:c>
      <x:c r="M100" s="145"/>
      <x:c r="N100" s="145" t="str">
        <x:v>Not Run</x:v>
      </x:c>
      <x:c r="O100" s="145"/>
      <x:c r="P100" s="145"/>
      <x:c r="Q100" s="145"/>
      <x:c r="R100" s="148"/>
      <x:c r="S100" s="145"/>
    </x:row>
    <x:row r="101" ht="58" customHeight="1">
      <x:c r="A101" s="142" t="str">
        <x:v>MB-095</x:v>
      </x:c>
      <x:c r="B101" s="142" t="str">
        <x:v>REQ-MB-SHARED-MOBILE</x:v>
      </x:c>
      <x:c r="C101" s="142" t="str">
        <x:v>Shared Mobile</x:v>
      </x:c>
      <x:c r="D101" s="142" t="str">
        <x:v>Accessibility</x:v>
      </x:c>
      <x:c r="E101" s="142" t="str">
        <x:v>Accessibility</x:v>
      </x:c>
      <x:c r="F101" s="142" t="str">
        <x:v>P2-Medium</x:v>
      </x:c>
      <x:c r="G101" s="139" t="str">
        <x:v>เปิด screen reader/font scale</x:v>
      </x:c>
      <x:c r="H101" s="139" t="str">
        <x:v>ใช้ TalkBack/VoiceOver และตัวอักษรใหญ่</x:v>
      </x:c>
      <x:c r="I101" s="139" t="str">
        <x:v>Font scale 1.3-1.5</x:v>
      </x:c>
      <x:c r="J101" s="139" t="str">
        <x:v>ปุ่มมี label, ลำดับ focus ถูก, contrast พอ และฟังก์ชันหลักไม่ล้น</x:v>
      </x:c>
      <x:c r="K101" s="139" t="str">
        <x:v>-</x:v>
      </x:c>
      <x:c r="L101" s="139" t="str">
        <x:v>ทุกขนาดที่รองรับ</x:v>
      </x:c>
      <x:c r="M101" s="145"/>
      <x:c r="N101" s="145" t="str">
        <x:v>Not Run</x:v>
      </x:c>
      <x:c r="O101" s="145"/>
      <x:c r="P101" s="145"/>
      <x:c r="Q101" s="145"/>
      <x:c r="R101" s="148"/>
      <x:c r="S101" s="145"/>
    </x:row>
    <x:row r="102" ht="58" customHeight="1">
      <x:c r="A102" s="143" t="str">
        <x:v>MB-096</x:v>
      </x:c>
      <x:c r="B102" s="143" t="str">
        <x:v>REQ-MB-SHARED-MOBILE</x:v>
      </x:c>
      <x:c r="C102" s="143" t="str">
        <x:v>Shared Mobile</x:v>
      </x:c>
      <x:c r="D102" s="143" t="str">
        <x:v>Performance</x:v>
      </x:c>
      <x:c r="E102" s="143" t="str">
        <x:v>Performance</x:v>
      </x:c>
      <x:c r="F102" s="143" t="str">
        <x:v>P2-Medium</x:v>
      </x:c>
      <x:c r="G102" s="140" t="str">
        <x:v>มีข้อมูลจำนวนมาก</x:v>
      </x:c>
      <x:c r="H102" s="140" t="str">
        <x:v>เปิดแต่ละหน้า/scroll/switch tabs</x:v>
      </x:c>
      <x:c r="I102" s="140" t="str">
        <x:v>100 tasks, 50 histories</x:v>
      </x:c>
      <x:c r="J102" s="140" t="str">
        <x:v>การตอบสนองลื่น ไม่มีเฟรมค้างชัดเจนและ memory ไม่เพิ่มต่อเนื่อง</x:v>
      </x:c>
      <x:c r="K102" s="140" t="str">
        <x:v>-</x:v>
      </x:c>
      <x:c r="L102" s="140" t="str">
        <x:v>ทุกขนาดที่รองรับ</x:v>
      </x:c>
      <x:c r="M102" s="146"/>
      <x:c r="N102" s="146" t="str">
        <x:v>Not Run</x:v>
      </x:c>
      <x:c r="O102" s="146"/>
      <x:c r="P102" s="146"/>
      <x:c r="Q102" s="146"/>
      <x:c r="R102" s="149"/>
      <x:c r="S102" s="146"/>
    </x:row>
  </x:sheetData>
  <x:mergeCells>
    <x:mergeCell ref="A1:S1"/>
    <x:mergeCell ref="A2:S2"/>
    <x:mergeCell ref="J3:S4"/>
  </x:mergeCells>
  <x:conditionalFormatting sqref="N7:N102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conditionalFormatting sqref="F7:F102">
    <x:cfRule type="containsText" dxfId="4" priority="5" operator="containsText" text="P0"/>
    <x:cfRule type="containsText" dxfId="5" priority="6" operator="containsText" text="P1"/>
  </x:conditionalFormatting>
  <x:dataValidations count="4">
    <x:dataValidation type="list" sqref="N7:N102">
      <x:formula1>"Not Run,Pass,Fail,Blocked"</x:formula1>
    </x:dataValidation>
    <x:dataValidation type="list" sqref="E7:E102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102">
      <x:formula1>"P0-Critical,P1-High,P2-Medium,P3-Low"</x:formula1>
    </x:dataValidation>
    <x:dataValidation type="list" sqref="O7:O102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3085eeec6642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9" t="str">
        <x:v>Planentrix — Mobile Coverage</x:v>
      </x:c>
      <x:c r="B1" s="10" t="str">
        <x:v>Planentrix — Mobile Coverage</x:v>
      </x:c>
      <x:c r="C1" s="10" t="str">
        <x:v>Planentrix — Mobile Coverage</x:v>
      </x:c>
      <x:c r="D1" s="10" t="str">
        <x:v>Planentrix — Mobile Coverage</x:v>
      </x:c>
      <x:c r="E1" s="10" t="str">
        <x:v>Planentrix — Mobile Coverage</x:v>
      </x:c>
      <x:c r="F1" s="10" t="str">
        <x:v>Planentrix — Mobile Coverage</x:v>
      </x:c>
      <x:c r="G1" s="10" t="str">
        <x:v>Planentrix — Mobile Coverage</x:v>
      </x:c>
      <x:c r="H1" s="10" t="str">
        <x:v>Planentrix — Mobile Coverage</x:v>
      </x:c>
      <x:c r="I1" s="10" t="str">
        <x:v>Planentrix — Mobile Coverage</x:v>
      </x:c>
      <x:c r="J1" s="10" t="str">
        <x:v>Planentrix — Mobile Coverage</x:v>
      </x:c>
      <x:c r="K1" s="11" t="str">
        <x:v>Planentrix — Mobile Coverage</x:v>
      </x:c>
    </x:row>
    <x:row r="2" ht="24" customHeight="1">
      <x:c r="A2" s="15" t="str">
        <x:v>สรุป Coverage และผลการทดสอบเฉพาะโมบาย อัปเดตอัตโนมัติจากชีต Test Cases</x:v>
      </x:c>
      <x:c r="B2" s="15" t="str">
        <x:v>สรุป Coverage และผลการทดสอบเฉพาะโมบาย อัปเดตอัตโนมัติจากชีต Test Cases</x:v>
      </x:c>
      <x:c r="C2" s="15" t="str">
        <x:v>สรุป Coverage และผลการทดสอบเฉพาะโมบาย อัปเดตอัตโนมัติจากชีต Test Cases</x:v>
      </x:c>
      <x:c r="D2" s="15" t="str">
        <x:v>สรุป Coverage และผลการทดสอบเฉพาะโมบาย อัปเดตอัตโนมัติจากชีต Test Cases</x:v>
      </x:c>
      <x:c r="E2" s="15" t="str">
        <x:v>สรุป Coverage และผลการทดสอบเฉพาะโมบาย อัปเดตอัตโนมัติจากชีต Test Cases</x:v>
      </x:c>
      <x:c r="F2" s="15" t="str">
        <x:v>สรุป Coverage และผลการทดสอบเฉพาะโมบาย อัปเดตอัตโนมัติจากชีต Test Cases</x:v>
      </x:c>
      <x:c r="G2" s="15" t="str">
        <x:v>สรุป Coverage และผลการทดสอบเฉพาะโมบาย อัปเดตอัตโนมัติจากชีต Test Cases</x:v>
      </x:c>
      <x:c r="H2" s="15" t="str">
        <x:v>สรุป Coverage และผลการทดสอบเฉพาะโมบาย อัปเดตอัตโนมัติจากชีต Test Cases</x:v>
      </x:c>
      <x:c r="I2" s="15" t="str">
        <x:v>สรุป Coverage และผลการทดสอบเฉพาะโมบาย อัปเดตอัตโนมัติจากชีต Test Cases</x:v>
      </x:c>
      <x:c r="J2" s="15" t="str">
        <x:v>สรุป Coverage และผลการทดสอบเฉพาะโมบาย อัปเดตอัตโนมัติจากชีต Test Cases</x:v>
      </x:c>
      <x:c r="K2" s="15" t="str">
        <x:v>สรุป Coverage และผลการทดสอบเฉพาะโมบาย อัปเดตอัตโนมัติจากชีต Test Cases</x:v>
      </x:c>
    </x:row>
    <x:row r="3">
      <x:c r="A3" s="111" t="str">
        <x:v>Test Cases ทั้งหมด</x:v>
      </x:c>
      <x:c r="B3" s="111" t="n">
        <x:f>COUNTA('Test Cases'!A7:A102)</x:f>
        <x:v>96</x:v>
      </x:c>
      <x:c r="C3" s="111" t="str">
        <x:v>Pass</x:v>
      </x:c>
      <x:c r="D3" s="111" t="n">
        <x:f>COUNTIF('Test Cases'!N7:N102,"Pass")</x:f>
        <x:v>0</x:v>
      </x:c>
      <x:c r="E3" s="111" t="str">
        <x:v>Fail</x:v>
      </x:c>
      <x:c r="F3" s="111" t="n">
        <x:f>COUNTIF('Test Cases'!N7:N102,"Fail")</x:f>
        <x:v>0</x:v>
      </x:c>
      <x:c r="G3" s="111" t="str">
        <x:v>Blocked</x:v>
      </x:c>
      <x:c r="H3" s="111" t="n">
        <x:f>COUNTIF('Test Cases'!N7:N102,"Blocked")</x:f>
        <x:v>0</x:v>
      </x:c>
      <x:c r="I3" s="111" t="str">
        <x:v>Not Run</x:v>
      </x:c>
      <x:c r="J3" s="111" t="n">
        <x:f>COUNTIF('Test Cases'!N7:N102,"Not Run")</x:f>
        <x:v>96</x:v>
      </x:c>
    </x:row>
    <x:row r="6">
      <x:c r="A6" s="41" t="str">
        <x:v>หน้า</x:v>
      </x:c>
      <x:c r="B6" s="41" t="str">
        <x:v>ทั้งหมด</x:v>
      </x:c>
      <x:c r="C6" s="41" t="str">
        <x:v>P0</x:v>
      </x:c>
      <x:c r="D6" s="41" t="str">
        <x:v>P1</x:v>
      </x:c>
      <x:c r="E6" s="41" t="str">
        <x:v>P2/P3</x:v>
      </x:c>
      <x:c r="F6" s="41" t="str">
        <x:v>Pass</x:v>
      </x:c>
      <x:c r="G6" s="41" t="str">
        <x:v>Fail/Blocked</x:v>
      </x:c>
      <x:c r="H6" s="41" t="str">
        <x:v>Pass Rate</x:v>
      </x:c>
      <x:c r="J6" s="41" t="str">
        <x:v>สถานะ</x:v>
      </x:c>
      <x:c r="K6" s="41" t="str">
        <x:v>จำนวน</x:v>
      </x:c>
    </x:row>
    <x:row r="7">
      <x:c r="A7" s="151" t="str">
        <x:v>Login</x:v>
      </x:c>
      <x:c r="B7" s="151" t="n">
        <x:f>COUNTIFS('Test Cases'!$C$7:$C$102,$A7)</x:f>
        <x:v>8</x:v>
      </x:c>
      <x:c r="C7" s="151" t="n">
        <x:f>COUNTIFS('Test Cases'!$C$7:$C$102,$A7,'Test Cases'!$F$7:$F$102,"P0-Critical")</x:f>
        <x:v>4</x:v>
      </x:c>
      <x:c r="D7" s="151" t="n">
        <x:f>COUNTIFS('Test Cases'!$C$7:$C$102,$A7,'Test Cases'!$F$7:$F$102,"P1-High")</x:f>
        <x:v>3</x:v>
      </x:c>
      <x:c r="E7" s="151" t="n">
        <x:f>B7-C7-D7</x:f>
        <x:v>1</x:v>
      </x:c>
      <x:c r="F7" s="151" t="n">
        <x:f>COUNTIFS('Test Cases'!$C$7:$C$102,$A7,'Test Cases'!$N$7:$N$102,"Pass")</x:f>
        <x:v>0</x:v>
      </x:c>
      <x:c r="G7" s="151" t="n">
        <x:f>COUNTIFS('Test Cases'!$C$7:$C$102,$A7,'Test Cases'!$N$7:$N$102,"Fail")+COUNTIFS('Test Cases'!$C$7:$C$102,$A7,'Test Cases'!$N$7:$N$102,"Blocked")</x:f>
        <x:v>0</x:v>
      </x:c>
      <x:c r="H7" s="154" t="n">
        <x:f>IF(B7=0,0,F7/B7)</x:f>
        <x:v>0</x:v>
      </x:c>
      <x:c r="J7" s="158" t="str">
        <x:v>Pass</x:v>
      </x:c>
      <x:c r="K7" s="158" t="n">
        <x:f>D3</x:f>
        <x:v>0</x:v>
      </x:c>
    </x:row>
    <x:row r="8">
      <x:c r="A8" s="152" t="str">
        <x:v>SignIn</x:v>
      </x:c>
      <x:c r="B8" s="152" t="n">
        <x:f>COUNTIFS('Test Cases'!$C$7:$C$102,$A8)</x:f>
        <x:v>12</x:v>
      </x:c>
      <x:c r="C8" s="152" t="n">
        <x:f>COUNTIFS('Test Cases'!$C$7:$C$102,$A8,'Test Cases'!$F$7:$F$102,"P0-Critical")</x:f>
        <x:v>5</x:v>
      </x:c>
      <x:c r="D8" s="152" t="n">
        <x:f>COUNTIFS('Test Cases'!$C$7:$C$102,$A8,'Test Cases'!$F$7:$F$102,"P1-High")</x:f>
        <x:v>6</x:v>
      </x:c>
      <x:c r="E8" s="152" t="n">
        <x:f>B8-C8-D8</x:f>
        <x:v>1</x:v>
      </x:c>
      <x:c r="F8" s="152" t="n">
        <x:f>COUNTIFS('Test Cases'!$C$7:$C$102,$A8,'Test Cases'!$N$7:$N$102,"Pass")</x:f>
        <x:v>0</x:v>
      </x:c>
      <x:c r="G8" s="152" t="n">
        <x:f>COUNTIFS('Test Cases'!$C$7:$C$102,$A8,'Test Cases'!$N$7:$N$102,"Fail")+COUNTIFS('Test Cases'!$C$7:$C$102,$A8,'Test Cases'!$N$7:$N$102,"Blocked")</x:f>
        <x:v>0</x:v>
      </x:c>
      <x:c r="H8" s="155" t="n">
        <x:f>IF(B8=0,0,F8/B8)</x:f>
        <x:v>0</x:v>
      </x:c>
      <x:c r="J8" s="158" t="str">
        <x:v>Fail</x:v>
      </x:c>
      <x:c r="K8" s="158" t="n">
        <x:f>F3</x:f>
        <x:v>0</x:v>
      </x:c>
    </x:row>
    <x:row r="9">
      <x:c r="A9" s="152" t="str">
        <x:v>Main</x:v>
      </x:c>
      <x:c r="B9" s="152" t="n">
        <x:f>COUNTIFS('Test Cases'!$C$7:$C$102,$A9)</x:f>
        <x:v>17</x:v>
      </x:c>
      <x:c r="C9" s="152" t="n">
        <x:f>COUNTIFS('Test Cases'!$C$7:$C$102,$A9,'Test Cases'!$F$7:$F$102,"P0-Critical")</x:f>
        <x:v>10</x:v>
      </x:c>
      <x:c r="D9" s="152" t="n">
        <x:f>COUNTIFS('Test Cases'!$C$7:$C$102,$A9,'Test Cases'!$F$7:$F$102,"P1-High")</x:f>
        <x:v>7</x:v>
      </x:c>
      <x:c r="E9" s="152" t="n">
        <x:f>B9-C9-D9</x:f>
        <x:v>0</x:v>
      </x:c>
      <x:c r="F9" s="152" t="n">
        <x:f>COUNTIFS('Test Cases'!$C$7:$C$102,$A9,'Test Cases'!$N$7:$N$102,"Pass")</x:f>
        <x:v>0</x:v>
      </x:c>
      <x:c r="G9" s="152" t="n">
        <x:f>COUNTIFS('Test Cases'!$C$7:$C$102,$A9,'Test Cases'!$N$7:$N$102,"Fail")+COUNTIFS('Test Cases'!$C$7:$C$102,$A9,'Test Cases'!$N$7:$N$102,"Blocked")</x:f>
        <x:v>0</x:v>
      </x:c>
      <x:c r="H9" s="155" t="n">
        <x:f>IF(B9=0,0,F9/B9)</x:f>
        <x:v>0</x:v>
      </x:c>
      <x:c r="J9" s="158" t="str">
        <x:v>Blocked</x:v>
      </x:c>
      <x:c r="K9" s="158" t="n">
        <x:f>H3</x:f>
        <x:v>0</x:v>
      </x:c>
    </x:row>
    <x:row r="10">
      <x:c r="A10" s="152" t="str">
        <x:v>Score</x:v>
      </x:c>
      <x:c r="B10" s="152" t="n">
        <x:f>COUNTIFS('Test Cases'!$C$7:$C$102,$A10)</x:f>
        <x:v>12</x:v>
      </x:c>
      <x:c r="C10" s="152" t="n">
        <x:f>COUNTIFS('Test Cases'!$C$7:$C$102,$A10,'Test Cases'!$F$7:$F$102,"P0-Critical")</x:f>
        <x:v>8</x:v>
      </x:c>
      <x:c r="D10" s="152" t="n">
        <x:f>COUNTIFS('Test Cases'!$C$7:$C$102,$A10,'Test Cases'!$F$7:$F$102,"P1-High")</x:f>
        <x:v>4</x:v>
      </x:c>
      <x:c r="E10" s="152" t="n">
        <x:f>B10-C10-D10</x:f>
        <x:v>0</x:v>
      </x:c>
      <x:c r="F10" s="152" t="n">
        <x:f>COUNTIFS('Test Cases'!$C$7:$C$102,$A10,'Test Cases'!$N$7:$N$102,"Pass")</x:f>
        <x:v>0</x:v>
      </x:c>
      <x:c r="G10" s="152" t="n">
        <x:f>COUNTIFS('Test Cases'!$C$7:$C$102,$A10,'Test Cases'!$N$7:$N$102,"Fail")+COUNTIFS('Test Cases'!$C$7:$C$102,$A10,'Test Cases'!$N$7:$N$102,"Blocked")</x:f>
        <x:v>0</x:v>
      </x:c>
      <x:c r="H10" s="155" t="n">
        <x:f>IF(B10=0,0,F10/B10)</x:f>
        <x:v>0</x:v>
      </x:c>
      <x:c r="J10" s="158" t="str">
        <x:v>Not Run</x:v>
      </x:c>
      <x:c r="K10" s="158" t="n">
        <x:f>J3</x:f>
        <x:v>96</x:v>
      </x:c>
    </x:row>
    <x:row r="11">
      <x:c r="A11" s="152" t="str">
        <x:v>Homework</x:v>
      </x:c>
      <x:c r="B11" s="152" t="n">
        <x:f>COUNTIFS('Test Cases'!$C$7:$C$102,$A11)</x:f>
        <x:v>14</x:v>
      </x:c>
      <x:c r="C11" s="152" t="n">
        <x:f>COUNTIFS('Test Cases'!$C$7:$C$102,$A11,'Test Cases'!$F$7:$F$102,"P0-Critical")</x:f>
        <x:v>9</x:v>
      </x:c>
      <x:c r="D11" s="152" t="n">
        <x:f>COUNTIFS('Test Cases'!$C$7:$C$102,$A11,'Test Cases'!$F$7:$F$102,"P1-High")</x:f>
        <x:v>5</x:v>
      </x:c>
      <x:c r="E11" s="152" t="n">
        <x:f>B11-C11-D11</x:f>
        <x:v>0</x:v>
      </x:c>
      <x:c r="F11" s="152" t="n">
        <x:f>COUNTIFS('Test Cases'!$C$7:$C$102,$A11,'Test Cases'!$N$7:$N$102,"Pass")</x:f>
        <x:v>0</x:v>
      </x:c>
      <x:c r="G11" s="152" t="n">
        <x:f>COUNTIFS('Test Cases'!$C$7:$C$102,$A11,'Test Cases'!$N$7:$N$102,"Fail")+COUNTIFS('Test Cases'!$C$7:$C$102,$A11,'Test Cases'!$N$7:$N$102,"Blocked")</x:f>
        <x:v>0</x:v>
      </x:c>
      <x:c r="H11" s="155" t="n">
        <x:f>IF(B11=0,0,F11/B11)</x:f>
        <x:v>0</x:v>
      </x:c>
    </x:row>
    <x:row r="12">
      <x:c r="A12" s="152" t="str">
        <x:v>Timer</x:v>
      </x:c>
      <x:c r="B12" s="152" t="n">
        <x:f>COUNTIFS('Test Cases'!$C$7:$C$102,$A12)</x:f>
        <x:v>10</x:v>
      </x:c>
      <x:c r="C12" s="152" t="n">
        <x:f>COUNTIFS('Test Cases'!$C$7:$C$102,$A12,'Test Cases'!$F$7:$F$102,"P0-Critical")</x:f>
        <x:v>7</x:v>
      </x:c>
      <x:c r="D12" s="152" t="n">
        <x:f>COUNTIFS('Test Cases'!$C$7:$C$102,$A12,'Test Cases'!$F$7:$F$102,"P1-High")</x:f>
        <x:v>3</x:v>
      </x:c>
      <x:c r="E12" s="152" t="n">
        <x:f>B12-C12-D12</x:f>
        <x:v>0</x:v>
      </x:c>
      <x:c r="F12" s="152" t="n">
        <x:f>COUNTIFS('Test Cases'!$C$7:$C$102,$A12,'Test Cases'!$N$7:$N$102,"Pass")</x:f>
        <x:v>0</x:v>
      </x:c>
      <x:c r="G12" s="152" t="n">
        <x:f>COUNTIFS('Test Cases'!$C$7:$C$102,$A12,'Test Cases'!$N$7:$N$102,"Fail")+COUNTIFS('Test Cases'!$C$7:$C$102,$A12,'Test Cases'!$N$7:$N$102,"Blocked")</x:f>
        <x:v>0</x:v>
      </x:c>
      <x:c r="H12" s="155" t="n">
        <x:f>IF(B12=0,0,F12/B12)</x:f>
        <x:v>0</x:v>
      </x:c>
    </x:row>
    <x:row r="13">
      <x:c r="A13" s="152" t="str">
        <x:v>Test</x:v>
      </x:c>
      <x:c r="B13" s="152" t="n">
        <x:f>COUNTIFS('Test Cases'!$C$7:$C$102,$A13)</x:f>
        <x:v>16</x:v>
      </x:c>
      <x:c r="C13" s="152" t="n">
        <x:f>COUNTIFS('Test Cases'!$C$7:$C$102,$A13,'Test Cases'!$F$7:$F$102,"P0-Critical")</x:f>
        <x:v>12</x:v>
      </x:c>
      <x:c r="D13" s="152" t="n">
        <x:f>COUNTIFS('Test Cases'!$C$7:$C$102,$A13,'Test Cases'!$F$7:$F$102,"P1-High")</x:f>
        <x:v>3</x:v>
      </x:c>
      <x:c r="E13" s="152" t="n">
        <x:f>B13-C13-D13</x:f>
        <x:v>1</x:v>
      </x:c>
      <x:c r="F13" s="152" t="n">
        <x:f>COUNTIFS('Test Cases'!$C$7:$C$102,$A13,'Test Cases'!$N$7:$N$102,"Pass")</x:f>
        <x:v>0</x:v>
      </x:c>
      <x:c r="G13" s="152" t="n">
        <x:f>COUNTIFS('Test Cases'!$C$7:$C$102,$A13,'Test Cases'!$N$7:$N$102,"Fail")+COUNTIFS('Test Cases'!$C$7:$C$102,$A13,'Test Cases'!$N$7:$N$102,"Blocked")</x:f>
        <x:v>0</x:v>
      </x:c>
      <x:c r="H13" s="155" t="n">
        <x:f>IF(B13=0,0,F13/B13)</x:f>
        <x:v>0</x:v>
      </x:c>
    </x:row>
    <x:row r="14">
      <x:c r="A14" s="153" t="str">
        <x:v>Shared Mobile</x:v>
      </x:c>
      <x:c r="B14" s="153" t="n">
        <x:f>COUNTIFS('Test Cases'!$C$7:$C$102,$A14)</x:f>
        <x:v>7</x:v>
      </x:c>
      <x:c r="C14" s="153" t="n">
        <x:f>COUNTIFS('Test Cases'!$C$7:$C$102,$A14,'Test Cases'!$F$7:$F$102,"P0-Critical")</x:f>
        <x:v>3</x:v>
      </x:c>
      <x:c r="D14" s="153" t="n">
        <x:f>COUNTIFS('Test Cases'!$C$7:$C$102,$A14,'Test Cases'!$F$7:$F$102,"P1-High")</x:f>
        <x:v>2</x:v>
      </x:c>
      <x:c r="E14" s="153" t="n">
        <x:f>B14-C14-D14</x:f>
        <x:v>2</x:v>
      </x:c>
      <x:c r="F14" s="153" t="n">
        <x:f>COUNTIFS('Test Cases'!$C$7:$C$102,$A14,'Test Cases'!$N$7:$N$102,"Pass")</x:f>
        <x:v>0</x:v>
      </x:c>
      <x:c r="G14" s="153" t="n">
        <x:f>COUNTIFS('Test Cases'!$C$7:$C$102,$A14,'Test Cases'!$N$7:$N$102,"Fail")+COUNTIFS('Test Cases'!$C$7:$C$102,$A14,'Test Cases'!$N$7:$N$102,"Blocked")</x:f>
        <x:v>0</x:v>
      </x:c>
      <x:c r="H14" s="156" t="n">
        <x:f>IF(B14=0,0,F14/B14)</x:f>
        <x:v>0</x:v>
      </x:c>
    </x:row>
  </x:sheetData>
  <x:mergeCells>
    <x:mergeCell ref="A1:K1"/>
    <x:mergeCell ref="A2:K2"/>
  </x:mergeCells>
  <x:conditionalFormatting sqref="H7:H14">
    <x:cfRule type="colorScale" priority="1">
      <x:colorScale>
        <x:cfvo type="min"/>
        <x:cfvo type="percentile" val="50"/>
        <x:cfvo type="max"/>
        <x:color rgb="FFFFD7DC"/>
        <x:color rgb="FFFFE6A3"/>
        <x:color rgb="FFCBE8A9"/>
      </x:colorScale>
    </x:cfRule>
  </x:conditionalFormatting>
  <x:pageMargins left="0.7" right="0.7" top="0.75" bottom="0.75" header="0.3" footer="0.3"/>
  <x:drawing xmlns:r="http://schemas.openxmlformats.org/officeDocument/2006/relationships" r:id="R02e709b941b2475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2" hidden="0" customWidth="1"/>
    <x:col min="5" max="5" width="22" hidden="0" customWidth="1"/>
    <x:col min="6" max="6" width="24" hidden="0" customWidth="1"/>
    <x:col min="7" max="7" width="30" hidden="0" customWidth="1"/>
    <x:col min="8" max="8" width="18" hidden="0" customWidth="1"/>
  </x:cols>
  <x:sheetData>
    <x:row r="1" ht="34" customHeight="1">
      <x:c r="A1" s="9" t="str">
        <x:v>Planentrix — Mobile Test Data</x:v>
      </x:c>
      <x:c r="B1" s="10" t="str">
        <x:v>Planentrix — Mobile Test Data</x:v>
      </x:c>
      <x:c r="C1" s="10" t="str">
        <x:v>Planentrix — Mobile Test Data</x:v>
      </x:c>
      <x:c r="D1" s="10" t="str">
        <x:v>Planentrix — Mobile Test Data</x:v>
      </x:c>
      <x:c r="E1" s="10" t="str">
        <x:v>Planentrix — Mobile Test Data</x:v>
      </x:c>
      <x:c r="F1" s="10" t="str">
        <x:v>Planentrix — Mobile Test Data</x:v>
      </x:c>
      <x:c r="G1" s="10" t="str">
        <x:v>Planentrix — Mobile Test Data</x:v>
      </x:c>
      <x:c r="H1" s="11" t="str">
        <x:v>Planentrix — Mobile Test Data</x:v>
      </x:c>
    </x:row>
    <x:row r="2" ht="24" customHeight="1">
      <x:c r="A2" s="15" t="str">
        <x:v>ข้อมูลจำลองและ Business Rules สำหรับทดสอบเฉพาะโมบาย ห้ามใช้ข้อมูลจริง</x:v>
      </x:c>
      <x:c r="B2" s="15" t="str">
        <x:v>ข้อมูลจำลองและ Business Rules สำหรับทดสอบเฉพาะโมบาย ห้ามใช้ข้อมูลจริง</x:v>
      </x:c>
      <x:c r="C2" s="15" t="str">
        <x:v>ข้อมูลจำลองและ Business Rules สำหรับทดสอบเฉพาะโมบาย ห้ามใช้ข้อมูลจริง</x:v>
      </x:c>
      <x:c r="D2" s="15" t="str">
        <x:v>ข้อมูลจำลองและ Business Rules สำหรับทดสอบเฉพาะโมบาย ห้ามใช้ข้อมูลจริง</x:v>
      </x:c>
      <x:c r="E2" s="15" t="str">
        <x:v>ข้อมูลจำลองและ Business Rules สำหรับทดสอบเฉพาะโมบาย ห้ามใช้ข้อมูลจริง</x:v>
      </x:c>
      <x:c r="F2" s="15" t="str">
        <x:v>ข้อมูลจำลองและ Business Rules สำหรับทดสอบเฉพาะโมบาย ห้ามใช้ข้อมูลจริง</x:v>
      </x:c>
      <x:c r="G2" s="15" t="str">
        <x:v>ข้อมูลจำลองและ Business Rules สำหรับทดสอบเฉพาะโมบาย ห้ามใช้ข้อมูลจริง</x:v>
      </x:c>
      <x:c r="H2" s="15" t="str">
        <x:v>ข้อมูลจำลองและ Business Rules สำหรับทดสอบเฉพาะโมบาย ห้ามใช้ข้อมูลจริง</x:v>
      </x:c>
    </x:row>
    <x:row r="4" ht="25" customHeight="1">
      <x:c r="A4" s="35" t="str">
        <x:v>บัญชีทดสอบ</x:v>
      </x:c>
      <x:c r="B4" s="35" t="str">
        <x:v>บัญชีทดสอบ</x:v>
      </x:c>
      <x:c r="C4" s="35" t="str">
        <x:v>บัญชีทดสอบ</x:v>
      </x:c>
      <x:c r="D4" s="35" t="str">
        <x:v>บัญชีทดสอบ</x:v>
      </x:c>
      <x:c r="E4" s="35" t="str">
        <x:v>บัญชีทดสอบ</x:v>
      </x:c>
      <x:c r="F4" s="35" t="str">
        <x:v>บัญชีทดสอบ</x:v>
      </x:c>
      <x:c r="G4" s="35" t="str">
        <x:v>บัญชีทดสอบ</x:v>
      </x:c>
      <x:c r="H4" s="35" t="str">
        <x:v>บัญชีทดสอบ</x:v>
      </x:c>
    </x:row>
    <x:row r="5">
      <x:c r="A5" s="94" t="str">
        <x:v>Data ID</x:v>
      </x:c>
      <x:c r="B5" s="94" t="str">
        <x:v>Role</x:v>
      </x:c>
      <x:c r="C5" s="94" t="str">
        <x:v>Username</x:v>
      </x:c>
      <x:c r="D5" s="94" t="str">
        <x:v>Password</x:v>
      </x:c>
      <x:c r="E5" s="94" t="str">
        <x:v>State</x:v>
      </x:c>
      <x:c r="F5" s="94" t="str">
        <x:v>ข้อมูลประกอบ</x:v>
      </x:c>
      <x:c r="G5" s="94" t="str">
        <x:v>หมายเหตุ</x:v>
      </x:c>
      <x:c r="H5" s="97"/>
    </x:row>
    <x:row r="6">
      <x:c r="A6" s="95" t="str">
        <x:v>USER_VALID</x:v>
      </x:c>
      <x:c r="B6" s="96" t="str">
        <x:v>User</x:v>
      </x:c>
      <x:c r="C6" s="96" t="str">
        <x:v>qa_user_01</x:v>
      </x:c>
      <x:c r="D6" s="96" t="str">
        <x:v>Qa@123456</x:v>
      </x:c>
      <x:c r="E6" s="96" t="str">
        <x:v>Active</x:v>
      </x:c>
      <x:c r="F6" s="96" t="str">
        <x:v>มีเทอม/ข้อมูลครบ</x:v>
      </x:c>
      <x:c r="G6" s="96" t="str">
        <x:v>บัญชีจำลอง</x:v>
      </x:c>
      <x:c r="H6" s="97"/>
    </x:row>
    <x:row r="7">
      <x:c r="A7" s="95" t="str">
        <x:v>USER_NEW</x:v>
      </x:c>
      <x:c r="B7" s="96" t="str">
        <x:v>User</x:v>
      </x:c>
      <x:c r="C7" s="96" t="str">
        <x:v>qa_mobile_new</x:v>
      </x:c>
      <x:c r="D7" s="96" t="str">
        <x:v>Qa@123456</x:v>
      </x:c>
      <x:c r="E7" s="96" t="str">
        <x:v>ยังไม่สมัคร</x:v>
      </x:c>
      <x:c r="F7" s="96" t="str">
        <x:v>ไม่มีข้อมูล</x:v>
      </x:c>
      <x:c r="G7" s="96" t="str">
        <x:v>เปลี่ยน suffix ทุกครั้ง</x:v>
      </x:c>
      <x:c r="H7" s="97"/>
    </x:row>
    <x:row r="8">
      <x:c r="A8" s="95" t="str">
        <x:v>USER_DUPLICATE</x:v>
      </x:c>
      <x:c r="B8" s="96" t="str">
        <x:v>User</x:v>
      </x:c>
      <x:c r="C8" s="96" t="str">
        <x:v>qa_user_01</x:v>
      </x:c>
      <x:c r="D8" s="96" t="str">
        <x:v>Qa@123456</x:v>
      </x:c>
      <x:c r="E8" s="96" t="str">
        <x:v>Active</x:v>
      </x:c>
      <x:c r="F8" s="96" t="str">
        <x:v>Username ซ้ำ</x:v>
      </x:c>
      <x:c r="G8" s="96" t="str">
        <x:v>ทดสอบ Register</x:v>
      </x:c>
      <x:c r="H8" s="97"/>
    </x:row>
    <x:row r="9">
      <x:c r="A9" s="95" t="str">
        <x:v>NO_TOKEN</x:v>
      </x:c>
      <x:c r="B9" s="96" t="str">
        <x:v>User</x:v>
      </x:c>
      <x:c r="C9" s="96" t="str">
        <x:v>-</x:v>
      </x:c>
      <x:c r="D9" s="96" t="str">
        <x:v>-</x:v>
      </x:c>
      <x:c r="E9" s="96" t="str">
        <x:v>ไม่มี session</x:v>
      </x:c>
      <x:c r="F9" s="96" t="str">
        <x:v>ไม่มี token</x:v>
      </x:c>
      <x:c r="G9" s="96" t="str">
        <x:v>ล้าง secure storage</x:v>
      </x:c>
      <x:c r="H9" s="97"/>
    </x:row>
    <x:row r="10">
      <x:c r="A10" s="95"/>
      <x:c r="B10" s="96"/>
      <x:c r="C10" s="96"/>
      <x:c r="D10" s="96"/>
      <x:c r="E10" s="96"/>
      <x:c r="F10" s="96"/>
      <x:c r="G10" s="96"/>
      <x:c r="H10" s="97"/>
    </x:row>
    <x:row r="11" ht="25" customHeight="1">
      <x:c r="A11" s="98" t="str">
        <x:v>Business States</x:v>
      </x:c>
      <x:c r="B11" s="99" t="str">
        <x:v>Business States</x:v>
      </x:c>
      <x:c r="C11" s="99" t="str">
        <x:v>Business States</x:v>
      </x:c>
      <x:c r="D11" s="99" t="str">
        <x:v>Business States</x:v>
      </x:c>
      <x:c r="E11" s="99" t="str">
        <x:v>Business States</x:v>
      </x:c>
      <x:c r="F11" s="99" t="str">
        <x:v>Business States</x:v>
      </x:c>
      <x:c r="G11" s="99" t="str">
        <x:v>Business States</x:v>
      </x:c>
      <x:c r="H11" s="100" t="str">
        <x:v>Business States</x:v>
      </x:c>
    </x:row>
    <x:row r="12">
      <x:c r="A12" s="94" t="str">
        <x:v>Data ID</x:v>
      </x:c>
      <x:c r="B12" s="94" t="str">
        <x:v>สถานะ</x:v>
      </x:c>
      <x:c r="C12" s="94" t="str">
        <x:v>ผลที่คาดหวัง/วัตถุประสงค์</x:v>
      </x:c>
      <x:c r="D12" s="96"/>
      <x:c r="E12" s="96"/>
      <x:c r="F12" s="96"/>
      <x:c r="G12" s="96"/>
      <x:c r="H12" s="97"/>
    </x:row>
    <x:row r="13">
      <x:c r="A13" s="95" t="str">
        <x:v>NO_CURRENT_TERM</x:v>
      </x:c>
      <x:c r="B13" s="96" t="str">
        <x:v>ไม่มีเทอม</x:v>
      </x:c>
      <x:c r="C13" s="96" t="str">
        <x:v>ทุกหน้าที่พึ่งเทอมแสดง shared no-term state</x:v>
      </x:c>
      <x:c r="D13" s="96"/>
      <x:c r="E13" s="96"/>
      <x:c r="F13" s="96"/>
      <x:c r="G13" s="96"/>
      <x:c r="H13" s="97"/>
    </x:row>
    <x:row r="14">
      <x:c r="A14" s="95" t="str">
        <x:v>TERM_NO_WORKLOAD</x:v>
      </x:c>
      <x:c r="B14" s="96" t="str">
        <x:v>มีเทอม/ไม่มีงาน</x:v>
      </x:c>
      <x:c r="C14" s="96" t="str">
        <x:v>Homework มีเฉพาะปุ่ม Add</x:v>
      </x:c>
      <x:c r="D14" s="96"/>
      <x:c r="E14" s="96"/>
      <x:c r="F14" s="96"/>
      <x:c r="G14" s="96"/>
      <x:c r="H14" s="97"/>
    </x:row>
    <x:row r="15">
      <x:c r="A15" s="95" t="str">
        <x:v>TERM_ALL_COMPLETED</x:v>
      </x:c>
      <x:c r="B15" s="96" t="str">
        <x:v>มีเทอม/ส่งครบ</x:v>
      </x:c>
      <x:c r="C15" s="96" t="str">
        <x:v>Homework แสดง completion state</x:v>
      </x:c>
      <x:c r="D15" s="96"/>
      <x:c r="E15" s="96"/>
      <x:c r="F15" s="96"/>
      <x:c r="G15" s="96"/>
      <x:c r="H15" s="97"/>
    </x:row>
    <x:row r="16">
      <x:c r="A16" s="95" t="str">
        <x:v>ACTIVE_SESSION</x:v>
      </x:c>
      <x:c r="B16" s="96" t="str">
        <x:v>Timer กำลังทำงาน</x:v>
      </x:c>
      <x:c r="C16" s="96" t="str">
        <x:v>แสดง Recovery popup หลัง restart/อีกอุปกรณ์</x:v>
      </x:c>
      <x:c r="D16" s="96"/>
      <x:c r="E16" s="96"/>
      <x:c r="F16" s="96"/>
      <x:c r="G16" s="96"/>
      <x:c r="H16" s="97"/>
    </x:row>
    <x:row r="17">
      <x:c r="A17" s="95" t="str">
        <x:v>EXAM_BI_10Q</x:v>
      </x:c>
      <x:c r="B17" s="96" t="str">
        <x:v>ข้อสอบ BI 10 ข้อ 15 นาที</x:v>
      </x:c>
      <x:c r="C17" s="96" t="str">
        <x:v>ทดสอบ choice, timer, result, weak topics, checkpoint</x:v>
      </x:c>
      <x:c r="D17" s="96"/>
      <x:c r="E17" s="96"/>
      <x:c r="F17" s="96"/>
      <x:c r="G17" s="96"/>
      <x:c r="H17" s="97"/>
    </x:row>
    <x:row r="18">
      <x:c r="A18" s="95"/>
      <x:c r="B18" s="96"/>
      <x:c r="C18" s="96"/>
      <x:c r="D18" s="96"/>
      <x:c r="E18" s="96"/>
      <x:c r="F18" s="96"/>
      <x:c r="G18" s="96"/>
      <x:c r="H18" s="97"/>
    </x:row>
    <x:row r="19" ht="25" customHeight="1">
      <x:c r="A19" s="101" t="str">
        <x:v>Business Rules สำคัญ</x:v>
      </x:c>
      <x:c r="B19" s="102" t="str">
        <x:v>Business Rules สำคัญ</x:v>
      </x:c>
      <x:c r="C19" s="102" t="str">
        <x:v>Business Rules สำคัญ</x:v>
      </x:c>
      <x:c r="D19" s="102" t="str">
        <x:v>Business Rules สำคัญ</x:v>
      </x:c>
      <x:c r="E19" s="102" t="str">
        <x:v>Business Rules สำคัญ</x:v>
      </x:c>
      <x:c r="F19" s="102" t="str">
        <x:v>Business Rules สำคัญ</x:v>
      </x:c>
      <x:c r="G19" s="102" t="str">
        <x:v>Business Rules สำคัญ</x:v>
      </x:c>
      <x:c r="H19" s="103" t="str">
        <x:v>Business Rules สำคัญ</x:v>
      </x:c>
    </x:row>
    <x:row r="20">
      <x:c r="A20" s="94" t="str">
        <x:v>Rule ID</x:v>
      </x:c>
      <x:c r="B20" s="94" t="str">
        <x:v>หัวข้อ</x:v>
      </x:c>
      <x:c r="C20" s="94" t="str">
        <x:v>กติกา</x:v>
      </x:c>
      <x:c r="D20" s="94" t="str">
        <x:v>Boundary 1</x:v>
      </x:c>
      <x:c r="E20" s="94" t="str">
        <x:v>Boundary 2</x:v>
      </x:c>
      <x:c r="F20" s="94" t="str">
        <x:v>Boundary 3</x:v>
      </x:c>
      <x:c r="G20" s="94" t="str">
        <x:v>Priority</x:v>
      </x:c>
      <x:c r="H20" s="97"/>
    </x:row>
    <x:row r="21">
      <x:c r="A21" s="95" t="str">
        <x:v>RULE-AUTH</x:v>
      </x:c>
      <x:c r="B21" s="96" t="str">
        <x:v>Session</x:v>
      </x:c>
      <x:c r="C21" s="96" t="str">
        <x:v>ผู้ใช้ที่ไม่มี session หรือ refresh ไม่สำเร็จต้องเข้า protected page ไม่ได้</x:v>
      </x:c>
      <x:c r="D21" s="96" t="str">
        <x:v>No token</x:v>
      </x:c>
      <x:c r="E21" s="96" t="str">
        <x:v>Expired token</x:v>
      </x:c>
      <x:c r="F21" s="96" t="str">
        <x:v>Logout</x:v>
      </x:c>
      <x:c r="G21" s="96" t="str">
        <x:v>P0</x:v>
      </x:c>
      <x:c r="H21" s="97"/>
    </x:row>
    <x:row r="22">
      <x:c r="A22" s="95" t="str">
        <x:v>RULE-TIME</x:v>
      </x:c>
      <x:c r="B22" s="96" t="str">
        <x:v>เวลา</x:v>
      </x:c>
      <x:c r="C22" s="96" t="str">
        <x:v>UI และ payload ใช้เวลา 24 ชั่วโมง HH:mm และ timezone Asia/Bangkok</x:v>
      </x:c>
      <x:c r="D22" s="96" t="str">
        <x:v>00:00</x:v>
      </x:c>
      <x:c r="E22" s="96" t="str">
        <x:v>17:05</x:v>
      </x:c>
      <x:c r="F22" s="96" t="str">
        <x:v>23:59</x:v>
      </x:c>
      <x:c r="G22" s="96" t="str">
        <x:v>P0</x:v>
      </x:c>
      <x:c r="H22" s="97"/>
    </x:row>
    <x:row r="23">
      <x:c r="A23" s="95" t="str">
        <x:v>RULE-GRADE</x:v>
      </x:c>
      <x:c r="B23" s="96" t="str">
        <x:v>เกรด</x:v>
      </x:c>
      <x:c r="C23" s="96" t="str">
        <x:v>A&gt;=80, B+&gt;=75, B&gt;=70, C+&gt;=65, C&gt;=60, D+&gt;=55, D&gt;=50, F&lt;50</x:v>
      </x:c>
      <x:c r="D23" s="96" t="str">
        <x:v>80=A</x:v>
      </x:c>
      <x:c r="E23" s="96" t="str">
        <x:v>50=D</x:v>
      </x:c>
      <x:c r="F23" s="96" t="str">
        <x:v>49.99=F</x:v>
      </x:c>
      <x:c r="G23" s="96" t="str">
        <x:v>P0</x:v>
      </x:c>
      <x:c r="H23" s="97"/>
    </x:row>
    <x:row r="24">
      <x:c r="A24" s="95" t="str">
        <x:v>RULE-SCORE</x:v>
      </x:c>
      <x:c r="B24" s="96" t="str">
        <x:v>คะแนน</x:v>
      </x:c>
      <x:c r="C24" s="96" t="str">
        <x:v>คะแนนสะสมต่อวิชาไม่เกิน 100 และคะแนนงานอยู่ระหว่าง 0 ถึงคะแนนเต็ม</x:v>
      </x:c>
      <x:c r="D24" s="96" t="str">
        <x:v>0</x:v>
      </x:c>
      <x:c r="E24" s="96" t="str">
        <x:v>100</x:v>
      </x:c>
      <x:c r="F24" s="96" t="str">
        <x:v>&gt;100 reject</x:v>
      </x:c>
      <x:c r="G24" s="96" t="str">
        <x:v>P0</x:v>
      </x:c>
      <x:c r="H24" s="97"/>
    </x:row>
    <x:row r="25">
      <x:c r="A25" s="95" t="str">
        <x:v>RULE-WEAK</x:v>
      </x:c>
      <x:c r="B25" s="96" t="str">
        <x:v>เรื่องอ่อน</x:v>
      </x:c>
      <x:c r="C25" s="96" t="str">
        <x:v>เปอร์เซ็นต์ต่ำกว่า 50 เป็น weak; Feedback แสดง 3 เรื่อง; History แสดงเรื่องอ่อนที่สุด 1 เรื่อง</x:v>
      </x:c>
      <x:c r="D25" s="96" t="str">
        <x:v>49.99 weak</x:v>
      </x:c>
      <x:c r="E25" s="96" t="str">
        <x:v>50 not weak</x:v>
      </x:c>
      <x:c r="F25" s="96" t="str">
        <x:v>Top 3 / Top 1</x:v>
      </x:c>
      <x:c r="G25" s="96" t="str">
        <x:v>P0</x:v>
      </x:c>
      <x:c r="H25" s="97"/>
    </x:row>
    <x:row r="26">
      <x:c r="A26" s="95" t="str">
        <x:v>RULE-SUBJECT</x:v>
      </x:c>
      <x:c r="B26" s="96" t="str">
        <x:v>รายวิชา</x:v>
      </x:c>
      <x:c r="C26" s="96" t="str">
        <x:v>วิชาสำหรับ Homework ดึงจาก schedule_type_id=1 เท่านั้น</x:v>
      </x:c>
      <x:c r="D26" s="96" t="str">
        <x:v>1 include</x:v>
      </x:c>
      <x:c r="E26" s="96" t="str">
        <x:v>2 exclude</x:v>
      </x:c>
      <x:c r="F26" s="96" t="str">
        <x:v>3 exclude</x:v>
      </x:c>
      <x:c r="G26" s="96" t="str">
        <x:v>P0</x:v>
      </x:c>
      <x:c r="H26" s="97"/>
    </x:row>
    <x:row r="27">
      <x:c r="A27" s="95" t="str">
        <x:v>RULE-HW</x:v>
      </x:c>
      <x:c r="B27" s="96" t="str">
        <x:v>Homework empty</x:v>
      </x:c>
      <x:c r="C27" s="96" t="str">
        <x:v>ไม่มีเทอม=ห้ามเพิ่ม; เทอมใหม่=มีเฉพาะ Add; เคยมีและส่งครบ=completion state</x:v>
      </x:c>
      <x:c r="D27" s="96" t="str">
        <x:v>No term</x:v>
      </x:c>
      <x:c r="E27" s="96" t="str">
        <x:v>Never created</x:v>
      </x:c>
      <x:c r="F27" s="96" t="str">
        <x:v>All completed</x:v>
      </x:c>
      <x:c r="G27" s="96" t="str">
        <x:v>P0</x:v>
      </x:c>
      <x:c r="H27" s="97"/>
    </x:row>
    <x:row r="28">
      <x:c r="A28" s="95" t="str">
        <x:v>RULE-GOAL</x:v>
      </x:c>
      <x:c r="B28" s="96" t="str">
        <x:v>เป้าหมายเกรด</x:v>
      </x:c>
      <x:c r="C28" s="96" t="str">
        <x:v>ต้องเลือกก่อนแสดง Score และแก้ไม่ได้หลังบันทึก</x:v>
      </x:c>
      <x:c r="D28" s="96" t="str">
        <x:v>No goal</x:v>
      </x:c>
      <x:c r="E28" s="96" t="str">
        <x:v>Save once</x:v>
      </x:c>
      <x:c r="F28" s="96" t="str">
        <x:v>Reload</x:v>
      </x:c>
      <x:c r="G28" s="96" t="str">
        <x:v>P0</x:v>
      </x:c>
      <x:c r="H28" s="97"/>
    </x:row>
    <x:row r="29">
      <x:c r="A29" s="95" t="str">
        <x:v>RULE-CHECKPOINT</x:v>
      </x:c>
      <x:c r="B29" s="96" t="str">
        <x:v>Checkpoint</x:v>
      </x:c>
      <x:c r="C29" s="96" t="str">
        <x:v>ส่งข้อสอบแล้วข้อสอบหายจนถึงรอบถัดไป และความถี่สัมพันธ์กับจำนวนเรื่องอ่อน</x:v>
      </x:c>
      <x:c r="D29" s="96" t="str">
        <x:v>Before due</x:v>
      </x:c>
      <x:c r="E29" s="96" t="str">
        <x:v>At due</x:v>
      </x:c>
      <x:c r="F29" s="96" t="str">
        <x:v>After due</x:v>
      </x:c>
      <x:c r="G29" s="96" t="str">
        <x:v>P0</x:v>
      </x:c>
      <x:c r="H29" s="97"/>
    </x:row>
    <x:row r="30">
      <x:c r="A30" s="95"/>
      <x:c r="B30" s="96"/>
      <x:c r="C30" s="96"/>
      <x:c r="D30" s="96"/>
      <x:c r="E30" s="96"/>
      <x:c r="F30" s="96"/>
      <x:c r="G30" s="96"/>
      <x:c r="H30" s="97"/>
    </x:row>
    <x:row r="31" ht="25" customHeight="1">
      <x:c r="A31" s="104" t="str">
        <x:v>รายการสำหรับกรอกผล</x:v>
      </x:c>
      <x:c r="B31" s="105" t="str">
        <x:v>รายการสำหรับกรอกผล</x:v>
      </x:c>
      <x:c r="C31" s="105" t="str">
        <x:v>รายการสำหรับกรอกผล</x:v>
      </x:c>
      <x:c r="D31" s="105" t="str">
        <x:v>รายการสำหรับกรอกผล</x:v>
      </x:c>
      <x:c r="E31" s="105" t="str">
        <x:v>รายการสำหรับกรอกผล</x:v>
      </x:c>
      <x:c r="F31" s="105" t="str">
        <x:v>รายการสำหรับกรอกผล</x:v>
      </x:c>
      <x:c r="G31" s="105" t="str">
        <x:v>รายการสำหรับกรอกผล</x:v>
      </x:c>
      <x:c r="H31" s="106" t="str">
        <x:v>รายการสำหรับกรอกผล</x:v>
      </x:c>
    </x:row>
    <x:row r="32">
      <x:c r="A32" s="94" t="str">
        <x:v>Status</x:v>
      </x:c>
      <x:c r="B32" s="94" t="str">
        <x:v>Priority</x:v>
      </x:c>
      <x:c r="C32" s="94" t="str">
        <x:v>Severity</x:v>
      </x:c>
      <x:c r="D32" s="94" t="str">
        <x:v>Test Type</x:v>
      </x:c>
      <x:c r="E32" s="96"/>
      <x:c r="F32" s="96"/>
      <x:c r="G32" s="96"/>
      <x:c r="H32" s="97"/>
    </x:row>
    <x:row r="33">
      <x:c r="A33" s="95" t="str">
        <x:v>Not Run</x:v>
      </x:c>
      <x:c r="B33" s="96" t="str">
        <x:v>P0-Critical</x:v>
      </x:c>
      <x:c r="C33" s="96" t="str">
        <x:v>S1-Blocker</x:v>
      </x:c>
      <x:c r="D33" s="96" t="str">
        <x:v>Smoke</x:v>
      </x:c>
      <x:c r="E33" s="96"/>
      <x:c r="F33" s="96"/>
      <x:c r="G33" s="96"/>
      <x:c r="H33" s="97"/>
    </x:row>
    <x:row r="34">
      <x:c r="A34" s="95" t="str">
        <x:v>Pass</x:v>
      </x:c>
      <x:c r="B34" s="96" t="str">
        <x:v>P1-High</x:v>
      </x:c>
      <x:c r="C34" s="96" t="str">
        <x:v>S2-Major</x:v>
      </x:c>
      <x:c r="D34" s="96" t="str">
        <x:v>Functional</x:v>
      </x:c>
      <x:c r="E34" s="96"/>
      <x:c r="F34" s="96"/>
      <x:c r="G34" s="96"/>
      <x:c r="H34" s="97"/>
    </x:row>
    <x:row r="35">
      <x:c r="A35" s="95" t="str">
        <x:v>Fail</x:v>
      </x:c>
      <x:c r="B35" s="96" t="str">
        <x:v>P2-Medium</x:v>
      </x:c>
      <x:c r="C35" s="96" t="str">
        <x:v>S3-Minor</x:v>
      </x:c>
      <x:c r="D35" s="96" t="str">
        <x:v>Validation</x:v>
      </x:c>
      <x:c r="E35" s="96"/>
      <x:c r="F35" s="96"/>
      <x:c r="G35" s="96"/>
      <x:c r="H35" s="97"/>
    </x:row>
    <x:row r="36">
      <x:c r="A36" s="95" t="str">
        <x:v>Blocked</x:v>
      </x:c>
      <x:c r="B36" s="96" t="str">
        <x:v>P3-Low</x:v>
      </x:c>
      <x:c r="C36" s="96" t="str">
        <x:v>S4-Cosmetic</x:v>
      </x:c>
      <x:c r="D36" s="96" t="str">
        <x:v>Negative</x:v>
      </x:c>
      <x:c r="E36" s="96"/>
      <x:c r="F36" s="96"/>
      <x:c r="G36" s="96"/>
      <x:c r="H36" s="97"/>
    </x:row>
    <x:row r="37">
      <x:c r="A37" s="95"/>
      <x:c r="B37" s="96"/>
      <x:c r="C37" s="96"/>
      <x:c r="D37" s="96" t="str">
        <x:v>End-to-End</x:v>
      </x:c>
      <x:c r="E37" s="96"/>
      <x:c r="F37" s="96"/>
      <x:c r="G37" s="96"/>
      <x:c r="H37" s="97"/>
    </x:row>
    <x:row r="38">
      <x:c r="A38" s="95"/>
      <x:c r="B38" s="96"/>
      <x:c r="C38" s="96"/>
      <x:c r="D38" s="96" t="str">
        <x:v>Integration</x:v>
      </x:c>
      <x:c r="E38" s="96"/>
      <x:c r="F38" s="96"/>
      <x:c r="G38" s="96"/>
      <x:c r="H38" s="97"/>
    </x:row>
    <x:row r="39">
      <x:c r="A39" s="95"/>
      <x:c r="B39" s="96"/>
      <x:c r="C39" s="96"/>
      <x:c r="D39" s="96" t="str">
        <x:v>UI/UX</x:v>
      </x:c>
      <x:c r="E39" s="96"/>
      <x:c r="F39" s="96"/>
      <x:c r="G39" s="96"/>
      <x:c r="H39" s="97"/>
    </x:row>
    <x:row r="40">
      <x:c r="A40" s="95"/>
      <x:c r="B40" s="96"/>
      <x:c r="C40" s="96"/>
      <x:c r="D40" s="96" t="str">
        <x:v>Navigation</x:v>
      </x:c>
      <x:c r="E40" s="96"/>
      <x:c r="F40" s="96"/>
      <x:c r="G40" s="96"/>
      <x:c r="H40" s="97"/>
    </x:row>
    <x:row r="41">
      <x:c r="A41" s="95"/>
      <x:c r="B41" s="96"/>
      <x:c r="C41" s="96"/>
      <x:c r="D41" s="96" t="str">
        <x:v>Accessibility</x:v>
      </x:c>
      <x:c r="E41" s="96"/>
      <x:c r="F41" s="96"/>
      <x:c r="G41" s="96"/>
      <x:c r="H41" s="97"/>
    </x:row>
    <x:row r="42">
      <x:c r="A42" s="95"/>
      <x:c r="B42" s="96"/>
      <x:c r="C42" s="96"/>
      <x:c r="D42" s="96" t="str">
        <x:v>Compatibility</x:v>
      </x:c>
      <x:c r="E42" s="96"/>
      <x:c r="F42" s="96"/>
      <x:c r="G42" s="96"/>
      <x:c r="H42" s="97"/>
    </x:row>
    <x:row r="43">
      <x:c r="A43" s="95"/>
      <x:c r="B43" s="96"/>
      <x:c r="C43" s="96"/>
      <x:c r="D43" s="96" t="str">
        <x:v>Security</x:v>
      </x:c>
      <x:c r="E43" s="96"/>
      <x:c r="F43" s="96"/>
      <x:c r="G43" s="96"/>
      <x:c r="H43" s="97"/>
    </x:row>
    <x:row r="44">
      <x:c r="A44" s="95"/>
      <x:c r="B44" s="96"/>
      <x:c r="C44" s="96"/>
      <x:c r="D44" s="96" t="str">
        <x:v>Recovery</x:v>
      </x:c>
      <x:c r="E44" s="96"/>
      <x:c r="F44" s="96"/>
      <x:c r="G44" s="96"/>
      <x:c r="H44" s="97"/>
    </x:row>
    <x:row r="45">
      <x:c r="A45" s="95"/>
      <x:c r="B45" s="96"/>
      <x:c r="C45" s="96"/>
      <x:c r="D45" s="96" t="str">
        <x:v>Reliability</x:v>
      </x:c>
      <x:c r="E45" s="96"/>
      <x:c r="F45" s="96"/>
      <x:c r="G45" s="96"/>
      <x:c r="H45" s="97"/>
    </x:row>
    <x:row r="46">
      <x:c r="A46" s="95"/>
      <x:c r="B46" s="96"/>
      <x:c r="C46" s="96"/>
      <x:c r="D46" s="96" t="str">
        <x:v>Calculation</x:v>
      </x:c>
      <x:c r="E46" s="96"/>
      <x:c r="F46" s="96"/>
      <x:c r="G46" s="96"/>
      <x:c r="H46" s="97"/>
    </x:row>
    <x:row r="47">
      <x:c r="A47" s="95"/>
      <x:c r="B47" s="96"/>
      <x:c r="C47" s="96"/>
      <x:c r="D47" s="96" t="str">
        <x:v>Business Rule</x:v>
      </x:c>
      <x:c r="E47" s="96"/>
      <x:c r="F47" s="96"/>
      <x:c r="G47" s="96"/>
      <x:c r="H47" s="97"/>
    </x:row>
    <x:row r="48">
      <x:c r="A48" s="95"/>
      <x:c r="B48" s="96"/>
      <x:c r="C48" s="96"/>
      <x:c r="D48" s="96" t="str">
        <x:v>Concurrency</x:v>
      </x:c>
      <x:c r="E48" s="96"/>
      <x:c r="F48" s="96"/>
      <x:c r="G48" s="96"/>
      <x:c r="H48" s="97"/>
    </x:row>
    <x:row r="49">
      <x:c r="A49" s="95"/>
      <x:c r="B49" s="96"/>
      <x:c r="C49" s="96"/>
      <x:c r="D49" s="96" t="str">
        <x:v>Regression</x:v>
      </x:c>
      <x:c r="E49" s="96"/>
      <x:c r="F49" s="96"/>
      <x:c r="G49" s="96"/>
      <x:c r="H49" s="97"/>
    </x:row>
    <x:row r="50">
      <x:c r="A50" s="95"/>
      <x:c r="B50" s="96"/>
      <x:c r="C50" s="96"/>
      <x:c r="D50" s="96" t="str">
        <x:v>Performance</x:v>
      </x:c>
      <x:c r="E50" s="96"/>
      <x:c r="F50" s="96"/>
      <x:c r="G50" s="96"/>
      <x:c r="H50" s="97"/>
    </x:row>
  </x:sheetData>
  <x:mergeCells>
    <x:mergeCell ref="A1:H1"/>
    <x:mergeCell ref="A2:H2"/>
    <x:mergeCell ref="A4:H4"/>
    <x:mergeCell ref="A11:H11"/>
    <x:mergeCell ref="A19:H19"/>
    <x:mergeCell ref="A31:H31"/>
  </x:mergeCells>
  <x:pageMargins left="0.7" right="0.7" top="0.75" bottom="0.75" header="0.3" footer="0.3"/>
</x:worksheet>
</file>