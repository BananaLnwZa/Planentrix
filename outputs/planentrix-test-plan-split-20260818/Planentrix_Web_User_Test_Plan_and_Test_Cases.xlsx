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b8b5db71f340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Plan" sheetId="1" r:id="Rd9b80855bee547b9"/>
    <x:sheet xmlns:r="http://schemas.openxmlformats.org/officeDocument/2006/relationships" name="Test Cases" sheetId="2" r:id="R1fa5108088874604"/>
    <x:sheet xmlns:r="http://schemas.openxmlformats.org/officeDocument/2006/relationships" name="Coverage" sheetId="3" r:id="Rbad83fa66b9e46d6"/>
    <x:sheet xmlns:r="http://schemas.openxmlformats.org/officeDocument/2006/relationships" name="Test Data" sheetId="4" r:id="R9792b7f029ff45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.0%"/>
  </x:numFmts>
  <x:fonts count="12">
    <x:font>
      <x:sz val="11"/>
      <x:name val="Carlito"/>
    </x:font>
    <x:font>
      <x:b/>
      <x:sz val="20"/>
      <x:color rgb="FF2F4353"/>
      <x:name val="Aptos"/>
    </x:font>
    <x:font>
      <x:i/>
      <x:sz val="10"/>
      <x:color rgb="FF6F8290"/>
      <x:name val="Aptos"/>
    </x:font>
    <x:font>
      <x:b/>
      <x:sz val="11"/>
      <x:color rgb="FF2F4353"/>
      <x:name val="Carlito"/>
    </x:font>
    <x:font>
      <x:sz val="11"/>
      <x:color rgb="FF2F4353"/>
      <x:name val="Carlito"/>
    </x:font>
    <x:font>
      <x:b/>
      <x:sz val="12"/>
      <x:color rgb="FF2F4353"/>
      <x:name val="Aptos"/>
    </x:font>
    <x:font>
      <x:b/>
      <x:sz val="10"/>
      <x:color rgb="FFFFFFFF"/>
      <x:name val="Aptos"/>
    </x:font>
    <x:font>
      <x:b/>
      <x:sz val="10"/>
      <x:color rgb="FF2F4353"/>
      <x:name val="Aptos"/>
    </x:font>
    <x:font>
      <x:sz val="10"/>
      <x:color rgb="FF2F4353"/>
      <x:name val="Aptos"/>
    </x:font>
    <x:font>
      <x:i/>
      <x:sz val="11"/>
      <x:color rgb="FF6F8290"/>
      <x:name val="Carlito"/>
    </x:font>
    <x:font>
      <x:sz val="9"/>
      <x:color rgb="FF2F4353"/>
      <x:name val="Aptos"/>
    </x:font>
    <x:font>
      <x:sz val="11"/>
      <x:color rgb="FF2F4353"/>
      <x:name val="Aptos"/>
    </x:font>
  </x:fonts>
  <x:fills count="13">
    <x:fill>
      <x:patternFill patternType="none"/>
    </x:fill>
    <x:fill>
      <x:patternFill patternType="gray125"/>
    </x:fill>
    <x:fill>
      <x:patternFill patternType="solid">
        <x:fgColor rgb="FFF8C5D0"/>
      </x:patternFill>
    </x:fill>
    <x:fill>
      <x:patternFill patternType="solid">
        <x:fgColor rgb="FFFEFBEA"/>
      </x:patternFill>
    </x:fill>
    <x:fill>
      <x:patternFill patternType="solid">
        <x:fgColor rgb="FFBFE3F3"/>
      </x:patternFill>
    </x:fill>
    <x:fill>
      <x:patternFill patternType="solid">
        <x:fgColor rgb="FFFFFFFF"/>
      </x:patternFill>
    </x:fill>
    <x:fill>
      <x:patternFill patternType="solid">
        <x:fgColor rgb="FF345268"/>
      </x:patternFill>
    </x:fill>
    <x:fill>
      <x:patternFill patternType="solid">
        <x:fgColor rgb="FFCBE8A9"/>
      </x:patternFill>
    </x:fill>
    <x:fill>
      <x:patternFill patternType="solid">
        <x:fgColor rgb="FFFFE6A3"/>
      </x:patternFill>
    </x:fill>
    <x:fill>
      <x:patternFill patternType="solid">
        <x:fgColor rgb="FFD9C2EF"/>
      </x:patternFill>
    </x:fill>
    <x:fill>
      <x:patternFill patternType="solid">
        <x:fgColor rgb="FFF8C3A8"/>
      </x:patternFill>
    </x:fill>
    <x:fill>
      <x:patternFill patternType="solid">
        <x:fgColor rgb="FFF8FBFD"/>
      </x:patternFill>
    </x:fill>
    <x:fill>
      <x:patternFill patternType="solid">
        <x:fgColor rgb="FFFFFDF4"/>
      </x:patternFill>
    </x:fill>
  </x:fills>
  <x:borders count="17">
    <x:border/>
    <x:border>
      <x:left style="medium">
        <x:color rgb="FFE89AB5"/>
      </x:left>
      <x:top style="medium">
        <x:color rgb="FFE89AB5"/>
      </x:top>
      <x:bottom style="medium">
        <x:color rgb="FFE89AB5"/>
      </x:bottom>
    </x:border>
    <x:border>
      <x:top style="medium">
        <x:color rgb="FFE89AB5"/>
      </x:top>
      <x:bottom style="medium">
        <x:color rgb="FFE89AB5"/>
      </x:bottom>
    </x:border>
    <x:border>
      <x:right style="medium">
        <x:color rgb="FFE89AB5"/>
      </x:right>
      <x:top style="medium">
        <x:color rgb="FFE89AB5"/>
      </x:top>
      <x:bottom style="medium">
        <x:color rgb="FFE89AB5"/>
      </x:bottom>
    </x:border>
    <x:border>
      <x:left style="thin">
        <x:color rgb="FFD7DEE3"/>
      </x:left>
      <x:top style="thin">
        <x:color rgb="FFD7DEE3"/>
      </x:top>
    </x:border>
    <x:border>
      <x:top style="thin">
        <x:color rgb="FFD7DEE3"/>
      </x:top>
    </x:border>
    <x:border>
      <x:right style="thin">
        <x:color rgb="FFD7DEE3"/>
      </x:right>
      <x:top style="thin">
        <x:color rgb="FFD7DEE3"/>
      </x:top>
    </x:border>
    <x:border>
      <x:left style="thin">
        <x:color rgb="FFD7DEE3"/>
      </x:left>
    </x:border>
    <x:border>
      <x:right style="thin">
        <x:color rgb="FFD7DEE3"/>
      </x:right>
    </x:border>
    <x:border>
      <x:left style="thin">
        <x:color rgb="FFD7DEE3"/>
      </x:left>
      <x:bottom style="thin">
        <x:color rgb="FFD7DEE3"/>
      </x:bottom>
    </x:border>
    <x:border>
      <x:bottom style="thin">
        <x:color rgb="FFD7DEE3"/>
      </x:bottom>
    </x:border>
    <x:border>
      <x:right style="thin">
        <x:color rgb="FFD7DEE3"/>
      </x:right>
      <x:bottom style="thin">
        <x:color rgb="FFD7DEE3"/>
      </x:bottom>
    </x:border>
    <x:border>
      <x:bottom style="medium">
        <x:color rgb="FF79BFE2"/>
      </x:bottom>
    </x:border>
    <x:border>
      <x:left style="thin">
        <x:color rgb="FFD7DEE3"/>
      </x:left>
      <x:right style="thin">
        <x:color rgb="FFD7DEE3"/>
      </x:right>
      <x:top style="thin">
        <x:color rgb="FFD7DEE3"/>
      </x:top>
      <x:bottom style="thin">
        <x:color rgb="FFD7DEE3"/>
      </x:bottom>
    </x:border>
    <x:border>
      <x:left style="thin">
        <x:color rgb="FFD7DEE3"/>
      </x:left>
      <x:top style="thin">
        <x:color rgb="FFD7DEE3"/>
      </x:top>
      <x:bottom style="thin">
        <x:color rgb="FFD7DEE3"/>
      </x:bottom>
    </x:border>
    <x:border>
      <x:top style="thin">
        <x:color rgb="FFD7DEE3"/>
      </x:top>
      <x:bottom style="thin">
        <x:color rgb="FFD7DEE3"/>
      </x:bottom>
    </x:border>
    <x:border>
      <x:right style="thin">
        <x:color rgb="FFD7DEE3"/>
      </x:right>
      <x:top style="thin">
        <x:color rgb="FFD7DEE3"/>
      </x:top>
      <x:bottom style="thin">
        <x:color rgb="FFD7DEE3"/>
      </x:bottom>
    </x:border>
  </x:borders>
  <x:cellStyleXfs count="1">
    <x:xf numFmtId="0" fontId="0" fillId="0" borderId="0"/>
  </x:cellStyleXfs>
  <x:cellXfs count="1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left" wrapText="1"/>
    </x:xf>
    <x:xf numFmtId="0" fontId="4" fillId="5" borderId="0" xfId="0" applyNumberFormat="1" applyFont="1" applyFill="1" applyBorder="1" applyAlignment="1">
      <x:alignment horizontal="left" vertical="top" wrapText="1"/>
    </x:xf>
    <x:xf numFmtId="0" fontId="3" fillId="4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horizontal="left" vertical="top" wrapText="1"/>
    </x:xf>
    <x:xf numFmtId="0" fontId="4" fillId="5" borderId="6" xfId="0" applyNumberFormat="1" applyFont="1" applyFill="1" applyBorder="1" applyAlignment="1">
      <x:alignment horizontal="left" vertical="top" wrapText="1"/>
    </x:xf>
    <x:xf numFmtId="0" fontId="3" fillId="4" borderId="7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horizontal="left" vertical="top" wrapText="1"/>
    </x:xf>
    <x:xf numFmtId="0" fontId="3" fillId="4" borderId="9" xfId="0" applyNumberFormat="1" applyFont="1" applyFill="1" applyBorder="1" applyAlignment="1">
      <x:alignment vertical="top" wrapText="1"/>
    </x:xf>
    <x:xf numFmtId="0" fontId="4" fillId="5" borderId="10" xfId="0" applyNumberFormat="1" applyFont="1" applyFill="1" applyBorder="1" applyAlignment="1">
      <x:alignment horizontal="left" vertical="top" wrapText="1"/>
    </x:xf>
    <x:xf numFmtId="0" fontId="4" fillId="5" borderId="11" xfId="0" applyNumberFormat="1" applyFont="1" applyFill="1" applyBorder="1" applyAlignment="1">
      <x:alignment horizontal="left" vertical="top" wrapText="1"/>
    </x:xf>
    <x:xf numFmtId="0" fontId="5" fillId="4" borderId="0" xfId="0" applyNumberFormat="1" applyFont="1" applyFill="1" applyBorder="1"/>
    <x:xf numFmtId="0" fontId="5" fillId="4" borderId="12" xfId="0" applyNumberFormat="1" applyFont="1" applyFill="1" applyBorder="1"/>
    <x:xf numFmtId="0" fontId="5" fillId="4" borderId="12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3" xfId="0" applyNumberFormat="1" applyFont="1" applyFill="1" applyBorder="1"/>
    <x:xf numFmtId="0" fontId="6" fillId="6" borderId="13" xfId="0" applyNumberFormat="1" applyFont="1" applyFill="1" applyBorder="1" applyAlignment="1">
      <x:alignment wrapText="1"/>
    </x:xf>
    <x:xf numFmtId="0" fontId="6" fillId="6" borderId="13" xfId="0" applyNumberFormat="1" applyFont="1" applyFill="1" applyBorder="1" applyAlignment="1">
      <x:alignment horizontal="center" wrapText="1"/>
    </x:xf>
    <x:xf numFmtId="0" fontId="6" fillId="6" borderId="13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2" xfId="0" applyNumberFormat="1" applyFont="1" applyFill="1" applyBorder="1"/>
    <x:xf numFmtId="0" fontId="5" fillId="7" borderId="12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12" xfId="0" applyNumberFormat="1" applyFont="1" applyFill="1" applyBorder="1"/>
    <x:xf numFmtId="0" fontId="5" fillId="8" borderId="12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12" xfId="0" applyNumberFormat="1" applyFont="1" applyFill="1" applyBorder="1"/>
    <x:xf numFmtId="0" fontId="5" fillId="9" borderId="12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12" xfId="0" applyNumberFormat="1" applyFont="1" applyFill="1" applyBorder="1"/>
    <x:xf numFmtId="0" fontId="5" fillId="10" borderId="12" xfId="0" applyNumberFormat="1" applyFont="1" applyFill="1" applyBorder="1" applyAlignment="1">
      <x:alignment vertical="center"/>
    </x:xf>
    <x:xf numFmtId="0" fontId="7" fillId="6" borderId="13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7" fillId="7" borderId="12" xfId="0" applyNumberFormat="1" applyFont="1" applyFill="1" applyBorder="1" applyAlignment="1">
      <x:alignment vertical="center"/>
    </x:xf>
    <x:xf numFmtId="0" fontId="7" fillId="8" borderId="12" xfId="0" applyNumberFormat="1" applyFont="1" applyFill="1" applyBorder="1" applyAlignment="1">
      <x:alignment vertical="center"/>
    </x:xf>
    <x:xf numFmtId="0" fontId="7" fillId="9" borderId="12" xfId="0" applyNumberFormat="1" applyFont="1" applyFill="1" applyBorder="1" applyAlignment="1">
      <x:alignment vertical="center"/>
    </x:xf>
    <x:xf numFmtId="0" fontId="7" fillId="10" borderId="12" xfId="0" applyNumberFormat="1" applyFont="1" applyFill="1" applyBorder="1" applyAlignment="1">
      <x:alignment vertical="center"/>
    </x:xf>
    <x:xf numFmtId="0" fontId="8" fillId="0" borderId="14" xfId="0" applyNumberFormat="1" applyFont="1" applyFill="1" applyBorder="1"/>
    <x:xf numFmtId="0" fontId="8" fillId="0" borderId="15" xfId="0" applyNumberFormat="1" applyFont="1" applyFill="1" applyBorder="1"/>
    <x:xf numFmtId="0" fontId="8" fillId="0" borderId="16" xfId="0" applyNumberFormat="1" applyFont="1" applyFill="1" applyBorder="1"/>
    <x:xf numFmtId="0" fontId="7" fillId="7" borderId="14" xfId="0" applyNumberFormat="1" applyFont="1" applyFill="1" applyBorder="1" applyAlignment="1">
      <x:alignment vertical="center"/>
    </x:xf>
    <x:xf numFmtId="0" fontId="7" fillId="7" borderId="15" xfId="0" applyNumberFormat="1" applyFont="1" applyFill="1" applyBorder="1" applyAlignment="1">
      <x:alignment vertical="center"/>
    </x:xf>
    <x:xf numFmtId="0" fontId="7" fillId="7" borderId="16" xfId="0" applyNumberFormat="1" applyFont="1" applyFill="1" applyBorder="1" applyAlignment="1">
      <x:alignment vertical="center"/>
    </x:xf>
    <x:xf numFmtId="0" fontId="7" fillId="8" borderId="14" xfId="0" applyNumberFormat="1" applyFont="1" applyFill="1" applyBorder="1" applyAlignment="1">
      <x:alignment vertical="center"/>
    </x:xf>
    <x:xf numFmtId="0" fontId="7" fillId="8" borderId="15" xfId="0" applyNumberFormat="1" applyFont="1" applyFill="1" applyBorder="1" applyAlignment="1">
      <x:alignment vertical="center"/>
    </x:xf>
    <x:xf numFmtId="0" fontId="7" fillId="8" borderId="16" xfId="0" applyNumberFormat="1" applyFont="1" applyFill="1" applyBorder="1" applyAlignment="1">
      <x:alignment vertical="center"/>
    </x:xf>
    <x:xf numFmtId="0" fontId="7" fillId="9" borderId="14" xfId="0" applyNumberFormat="1" applyFont="1" applyFill="1" applyBorder="1" applyAlignment="1">
      <x:alignment vertical="center"/>
    </x:xf>
    <x:xf numFmtId="0" fontId="7" fillId="9" borderId="15" xfId="0" applyNumberFormat="1" applyFont="1" applyFill="1" applyBorder="1" applyAlignment="1">
      <x:alignment vertical="center"/>
    </x:xf>
    <x:xf numFmtId="0" fontId="7" fillId="9" borderId="16" xfId="0" applyNumberFormat="1" applyFont="1" applyFill="1" applyBorder="1" applyAlignment="1">
      <x:alignment vertical="center"/>
    </x:xf>
    <x:xf numFmtId="0" fontId="7" fillId="10" borderId="14" xfId="0" applyNumberFormat="1" applyFont="1" applyFill="1" applyBorder="1" applyAlignment="1">
      <x:alignment vertical="center"/>
    </x:xf>
    <x:xf numFmtId="0" fontId="7" fillId="10" borderId="15" xfId="0" applyNumberFormat="1" applyFont="1" applyFill="1" applyBorder="1" applyAlignment="1">
      <x:alignment vertical="center"/>
    </x:xf>
    <x:xf numFmtId="0" fontId="7" fillId="10" borderId="16" xfId="0" applyNumberFormat="1" applyFont="1" applyFill="1" applyBorder="1" applyAlignment="1">
      <x:alignment vertical="center"/>
    </x:xf>
    <x:xf numFmtId="0" fontId="8" fillId="0" borderId="14" xfId="0" applyNumberFormat="1" applyFont="1" applyFill="1" applyBorder="1" applyAlignment="1">
      <x:alignment wrapText="1"/>
    </x:xf>
    <x:xf numFmtId="0" fontId="8" fillId="0" borderId="15" xfId="0" applyNumberFormat="1" applyFont="1" applyFill="1" applyBorder="1" applyAlignment="1">
      <x:alignment wrapText="1"/>
    </x:xf>
    <x:xf numFmtId="0" fontId="8" fillId="0" borderId="16" xfId="0" applyNumberFormat="1" applyFont="1" applyFill="1" applyBorder="1" applyAlignment="1">
      <x:alignment wrapText="1"/>
    </x:xf>
    <x:xf numFmtId="0" fontId="7" fillId="7" borderId="14" xfId="0" applyNumberFormat="1" applyFont="1" applyFill="1" applyBorder="1" applyAlignment="1">
      <x:alignment vertical="center" wrapText="1"/>
    </x:xf>
    <x:xf numFmtId="0" fontId="7" fillId="7" borderId="15" xfId="0" applyNumberFormat="1" applyFont="1" applyFill="1" applyBorder="1" applyAlignment="1">
      <x:alignment vertical="center" wrapText="1"/>
    </x:xf>
    <x:xf numFmtId="0" fontId="7" fillId="7" borderId="16" xfId="0" applyNumberFormat="1" applyFont="1" applyFill="1" applyBorder="1" applyAlignment="1">
      <x:alignment vertical="center" wrapText="1"/>
    </x:xf>
    <x:xf numFmtId="0" fontId="7" fillId="8" borderId="14" xfId="0" applyNumberFormat="1" applyFont="1" applyFill="1" applyBorder="1" applyAlignment="1">
      <x:alignment vertical="center" wrapText="1"/>
    </x:xf>
    <x:xf numFmtId="0" fontId="7" fillId="8" borderId="15" xfId="0" applyNumberFormat="1" applyFont="1" applyFill="1" applyBorder="1" applyAlignment="1">
      <x:alignment vertical="center" wrapText="1"/>
    </x:xf>
    <x:xf numFmtId="0" fontId="7" fillId="8" borderId="16" xfId="0" applyNumberFormat="1" applyFont="1" applyFill="1" applyBorder="1" applyAlignment="1">
      <x:alignment vertical="center" wrapText="1"/>
    </x:xf>
    <x:xf numFmtId="0" fontId="7" fillId="9" borderId="14" xfId="0" applyNumberFormat="1" applyFont="1" applyFill="1" applyBorder="1" applyAlignment="1">
      <x:alignment vertical="center" wrapText="1"/>
    </x:xf>
    <x:xf numFmtId="0" fontId="7" fillId="9" borderId="15" xfId="0" applyNumberFormat="1" applyFont="1" applyFill="1" applyBorder="1" applyAlignment="1">
      <x:alignment vertical="center" wrapText="1"/>
    </x:xf>
    <x:xf numFmtId="0" fontId="7" fillId="9" borderId="16" xfId="0" applyNumberFormat="1" applyFont="1" applyFill="1" applyBorder="1" applyAlignment="1">
      <x:alignment vertical="center" wrapText="1"/>
    </x:xf>
    <x:xf numFmtId="0" fontId="7" fillId="10" borderId="14" xfId="0" applyNumberFormat="1" applyFont="1" applyFill="1" applyBorder="1" applyAlignment="1">
      <x:alignment vertical="center" wrapText="1"/>
    </x:xf>
    <x:xf numFmtId="0" fontId="7" fillId="10" borderId="15" xfId="0" applyNumberFormat="1" applyFont="1" applyFill="1" applyBorder="1" applyAlignment="1">
      <x:alignment vertical="center" wrapText="1"/>
    </x:xf>
    <x:xf numFmtId="0" fontId="7" fillId="10" borderId="16" xfId="0" applyNumberFormat="1" applyFont="1" applyFill="1" applyBorder="1" applyAlignment="1">
      <x:alignment vertical="center" wrapText="1"/>
    </x:xf>
    <x:xf numFmtId="0" fontId="7" fillId="6" borderId="13" xfId="0" applyNumberFormat="1" applyFont="1" applyFill="1" applyBorder="1" applyAlignment="1">
      <x:alignment horizontal="center" vertical="top" wrapText="1"/>
    </x:xf>
    <x:xf numFmtId="0" fontId="8" fillId="0" borderId="14" xfId="0" applyNumberFormat="1" applyFont="1" applyFill="1" applyBorder="1" applyAlignment="1">
      <x:alignment vertical="top" wrapText="1"/>
    </x:xf>
    <x:xf numFmtId="0" fontId="8" fillId="0" borderId="15" xfId="0" applyNumberFormat="1" applyFont="1" applyFill="1" applyBorder="1" applyAlignment="1">
      <x:alignment vertical="top" wrapText="1"/>
    </x:xf>
    <x:xf numFmtId="0" fontId="8" fillId="0" borderId="16" xfId="0" applyNumberFormat="1" applyFont="1" applyFill="1" applyBorder="1" applyAlignment="1">
      <x:alignment vertical="top" wrapText="1"/>
    </x:xf>
    <x:xf numFmtId="0" fontId="7" fillId="7" borderId="14" xfId="0" applyNumberFormat="1" applyFont="1" applyFill="1" applyBorder="1" applyAlignment="1">
      <x:alignment vertical="top" wrapText="1"/>
    </x:xf>
    <x:xf numFmtId="0" fontId="7" fillId="7" borderId="15" xfId="0" applyNumberFormat="1" applyFont="1" applyFill="1" applyBorder="1" applyAlignment="1">
      <x:alignment vertical="top" wrapText="1"/>
    </x:xf>
    <x:xf numFmtId="0" fontId="7" fillId="7" borderId="16" xfId="0" applyNumberFormat="1" applyFont="1" applyFill="1" applyBorder="1" applyAlignment="1">
      <x:alignment vertical="top" wrapText="1"/>
    </x:xf>
    <x:xf numFmtId="0" fontId="7" fillId="8" borderId="14" xfId="0" applyNumberFormat="1" applyFont="1" applyFill="1" applyBorder="1" applyAlignment="1">
      <x:alignment vertical="top" wrapText="1"/>
    </x:xf>
    <x:xf numFmtId="0" fontId="7" fillId="8" borderId="15" xfId="0" applyNumberFormat="1" applyFont="1" applyFill="1" applyBorder="1" applyAlignment="1">
      <x:alignment vertical="top" wrapText="1"/>
    </x:xf>
    <x:xf numFmtId="0" fontId="7" fillId="8" borderId="16" xfId="0" applyNumberFormat="1" applyFont="1" applyFill="1" applyBorder="1" applyAlignment="1">
      <x:alignment vertical="top" wrapText="1"/>
    </x:xf>
    <x:xf numFmtId="0" fontId="7" fillId="9" borderId="14" xfId="0" applyNumberFormat="1" applyFont="1" applyFill="1" applyBorder="1" applyAlignment="1">
      <x:alignment vertical="top" wrapText="1"/>
    </x:xf>
    <x:xf numFmtId="0" fontId="7" fillId="9" borderId="15" xfId="0" applyNumberFormat="1" applyFont="1" applyFill="1" applyBorder="1" applyAlignment="1">
      <x:alignment vertical="top" wrapText="1"/>
    </x:xf>
    <x:xf numFmtId="0" fontId="7" fillId="9" borderId="16" xfId="0" applyNumberFormat="1" applyFont="1" applyFill="1" applyBorder="1" applyAlignment="1">
      <x:alignment vertical="top" wrapText="1"/>
    </x:xf>
    <x:xf numFmtId="0" fontId="7" fillId="10" borderId="14" xfId="0" applyNumberFormat="1" applyFont="1" applyFill="1" applyBorder="1" applyAlignment="1">
      <x:alignment vertical="top" wrapText="1"/>
    </x:xf>
    <x:xf numFmtId="0" fontId="7" fillId="10" borderId="15" xfId="0" applyNumberFormat="1" applyFont="1" applyFill="1" applyBorder="1" applyAlignment="1">
      <x:alignment vertical="top" wrapText="1"/>
    </x:xf>
    <x:xf numFmtId="0" fontId="7" fillId="10" borderId="16" xfId="0" applyNumberFormat="1" applyFont="1" applyFill="1" applyBorder="1" applyAlignment="1">
      <x:alignment vertical="top" wrapText="1"/>
    </x:xf>
    <x:xf numFmtId="0" fontId="3" fillId="4" borderId="13" xfId="0" applyNumberFormat="1" applyFont="1" applyFill="1" applyBorder="1"/>
    <x:xf numFmtId="0" fontId="3" fillId="4" borderId="13" xfId="0" applyNumberFormat="1" applyFont="1" applyFill="1" applyBorder="1" applyAlignment="1">
      <x:alignment horizontal="center"/>
    </x:xf>
    <x:xf numFmtId="0" fontId="9" fillId="3" borderId="0" xfId="0" applyNumberFormat="1" applyFont="1" applyFill="1" applyBorder="1"/>
    <x:xf numFmtId="0" fontId="9" fillId="3" borderId="4" xfId="0" applyNumberFormat="1" applyFont="1" applyFill="1" applyBorder="1"/>
    <x:xf numFmtId="0" fontId="9" fillId="3" borderId="5" xfId="0" applyNumberFormat="1" applyFont="1" applyFill="1" applyBorder="1"/>
    <x:xf numFmtId="0" fontId="9" fillId="3" borderId="6" xfId="0" applyNumberFormat="1" applyFont="1" applyFill="1" applyBorder="1"/>
    <x:xf numFmtId="0" fontId="9" fillId="3" borderId="9" xfId="0" applyNumberFormat="1" applyFont="1" applyFill="1" applyBorder="1"/>
    <x:xf numFmtId="0" fontId="9" fillId="3" borderId="10" xfId="0" applyNumberFormat="1" applyFont="1" applyFill="1" applyBorder="1"/>
    <x:xf numFmtId="0" fontId="9" fillId="3" borderId="11" xfId="0" applyNumberFormat="1" applyFont="1" applyFill="1" applyBorder="1"/>
    <x:xf numFmtId="0" fontId="9" fillId="3" borderId="4" xfId="0" applyNumberFormat="1" applyFont="1" applyFill="1" applyBorder="1" applyAlignment="1">
      <x:alignment wrapText="1"/>
    </x:xf>
    <x:xf numFmtId="0" fontId="9" fillId="3" borderId="5" xfId="0" applyNumberFormat="1" applyFont="1" applyFill="1" applyBorder="1" applyAlignment="1">
      <x:alignment wrapText="1"/>
    </x:xf>
    <x:xf numFmtId="0" fontId="9" fillId="3" borderId="6" xfId="0" applyNumberFormat="1" applyFont="1" applyFill="1" applyBorder="1" applyAlignment="1">
      <x:alignment wrapText="1"/>
    </x:xf>
    <x:xf numFmtId="0" fontId="9" fillId="3" borderId="9" xfId="0" applyNumberFormat="1" applyFont="1" applyFill="1" applyBorder="1" applyAlignment="1">
      <x:alignment wrapText="1"/>
    </x:xf>
    <x:xf numFmtId="0" fontId="9" fillId="3" borderId="10" xfId="0" applyNumberFormat="1" applyFont="1" applyFill="1" applyBorder="1" applyAlignment="1">
      <x:alignment wrapText="1"/>
    </x:xf>
    <x:xf numFmtId="0" fontId="9" fillId="3" borderId="11" xfId="0" applyNumberFormat="1" applyFont="1" applyFill="1" applyBorder="1" applyAlignment="1">
      <x:alignment wrapText="1"/>
    </x:xf>
    <x:xf numFmtId="0" fontId="9" fillId="3" borderId="4" xfId="0" applyNumberFormat="1" applyFont="1" applyFill="1" applyBorder="1" applyAlignment="1">
      <x:alignment vertical="center" wrapText="1"/>
    </x:xf>
    <x:xf numFmtId="0" fontId="9" fillId="3" borderId="5" xfId="0" applyNumberFormat="1" applyFont="1" applyFill="1" applyBorder="1" applyAlignment="1">
      <x:alignment vertical="center" wrapText="1"/>
    </x:xf>
    <x:xf numFmtId="0" fontId="9" fillId="3" borderId="6" xfId="0" applyNumberFormat="1" applyFont="1" applyFill="1" applyBorder="1" applyAlignment="1">
      <x:alignment vertical="center" wrapText="1"/>
    </x:xf>
    <x:xf numFmtId="0" fontId="9" fillId="3" borderId="9" xfId="0" applyNumberFormat="1" applyFont="1" applyFill="1" applyBorder="1" applyAlignment="1">
      <x:alignment vertical="center" wrapText="1"/>
    </x:xf>
    <x:xf numFmtId="0" fontId="9" fillId="3" borderId="10" xfId="0" applyNumberFormat="1" applyFont="1" applyFill="1" applyBorder="1" applyAlignment="1">
      <x:alignment vertical="center" wrapText="1"/>
    </x:xf>
    <x:xf numFmtId="0" fontId="9" fillId="3" borderId="11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10" xfId="0" applyNumberFormat="1" applyFont="1" applyFill="1" applyBorder="1"/>
    <x:xf numFmtId="0" fontId="10" fillId="0" borderId="15" xfId="0" applyNumberFormat="1" applyFont="1" applyFill="1" applyBorder="1"/>
    <x:xf numFmtId="0" fontId="10" fillId="0" borderId="5" xfId="0" applyNumberFormat="1" applyFont="1" applyFill="1" applyBorder="1"/>
    <x:xf numFmtId="0" fontId="10" fillId="0" borderId="10" xfId="0" applyNumberFormat="1" applyFont="1" applyFill="1" applyBorder="1" applyAlignment="1">
      <x:alignment wrapText="1"/>
    </x:xf>
    <x:xf numFmtId="0" fontId="10" fillId="0" borderId="15" xfId="0" applyNumberFormat="1" applyFont="1" applyFill="1" applyBorder="1" applyAlignment="1">
      <x:alignment wrapText="1"/>
    </x:xf>
    <x:xf numFmtId="0" fontId="10" fillId="0" borderId="5" xfId="0" applyNumberFormat="1" applyFont="1" applyFill="1" applyBorder="1" applyAlignment="1">
      <x:alignment wrapText="1"/>
    </x:xf>
    <x:xf numFmtId="0" fontId="10" fillId="0" borderId="10" xfId="0" applyNumberFormat="1" applyFont="1" applyFill="1" applyBorder="1" applyAlignment="1">
      <x:alignment vertical="top" wrapText="1"/>
    </x:xf>
    <x:xf numFmtId="0" fontId="10" fillId="0" borderId="15" xfId="0" applyNumberFormat="1" applyFont="1" applyFill="1" applyBorder="1" applyAlignment="1">
      <x:alignment vertical="top" wrapText="1"/>
    </x:xf>
    <x:xf numFmtId="0" fontId="10" fillId="0" borderId="5" xfId="0" applyNumberFormat="1" applyFont="1" applyFill="1" applyBorder="1" applyAlignment="1">
      <x:alignment vertical="top" wrapText="1"/>
    </x:xf>
    <x:xf numFmtId="0" fontId="10" fillId="11" borderId="10" xfId="0" applyNumberFormat="1" applyFont="1" applyFill="1" applyBorder="1" applyAlignment="1">
      <x:alignment vertical="top" wrapText="1"/>
    </x:xf>
    <x:xf numFmtId="0" fontId="10" fillId="11" borderId="15" xfId="0" applyNumberFormat="1" applyFont="1" applyFill="1" applyBorder="1" applyAlignment="1">
      <x:alignment vertical="top" wrapText="1"/>
    </x:xf>
    <x:xf numFmtId="0" fontId="10" fillId="11" borderId="5" xfId="0" applyNumberFormat="1" applyFont="1" applyFill="1" applyBorder="1" applyAlignment="1">
      <x:alignment vertical="top" wrapText="1"/>
    </x:xf>
    <x:xf numFmtId="0" fontId="10" fillId="12" borderId="10" xfId="0" applyNumberFormat="1" applyFont="1" applyFill="1" applyBorder="1" applyAlignment="1">
      <x:alignment vertical="top" wrapText="1"/>
    </x:xf>
    <x:xf numFmtId="0" fontId="10" fillId="12" borderId="15" xfId="0" applyNumberFormat="1" applyFont="1" applyFill="1" applyBorder="1" applyAlignment="1">
      <x:alignment vertical="top" wrapText="1"/>
    </x:xf>
    <x:xf numFmtId="0" fontId="10" fillId="12" borderId="5" xfId="0" applyNumberFormat="1" applyFont="1" applyFill="1" applyBorder="1" applyAlignment="1">
      <x:alignment vertical="top" wrapText="1"/>
    </x:xf>
    <x:xf numFmtId="200" fontId="10" fillId="12" borderId="10" xfId="0" applyNumberFormat="1" applyFont="1" applyFill="1" applyBorder="1" applyAlignment="1">
      <x:alignment vertical="top" wrapText="1"/>
    </x:xf>
    <x:xf numFmtId="200" fontId="10" fillId="12" borderId="15" xfId="0" applyNumberFormat="1" applyFont="1" applyFill="1" applyBorder="1" applyAlignment="1">
      <x:alignment vertical="top" wrapText="1"/>
    </x:xf>
    <x:xf numFmtId="200" fontId="10" fillId="12" borderId="5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/>
    <x:xf numFmtId="0" fontId="11" fillId="0" borderId="10" xfId="0" applyNumberFormat="1" applyFont="1" applyFill="1" applyBorder="1"/>
    <x:xf numFmtId="0" fontId="11" fillId="0" borderId="15" xfId="0" applyNumberFormat="1" applyFont="1" applyFill="1" applyBorder="1"/>
    <x:xf numFmtId="0" fontId="11" fillId="0" borderId="5" xfId="0" applyNumberFormat="1" applyFont="1" applyFill="1" applyBorder="1"/>
    <x:xf numFmtId="201" fontId="11" fillId="0" borderId="10" xfId="0" applyNumberFormat="1" applyFont="1" applyFill="1" applyBorder="1"/>
    <x:xf numFmtId="201" fontId="11" fillId="0" borderId="15" xfId="0" applyNumberFormat="1" applyFont="1" applyFill="1" applyBorder="1"/>
    <x:xf numFmtId="201" fontId="11" fillId="0" borderId="5" xfId="0" applyNumberFormat="1" applyFont="1" applyFill="1" applyBorder="1"/>
    <x:xf numFmtId="0" fontId="0" fillId="0" borderId="13" xfId="0" applyNumberFormat="1" applyFont="1" applyFill="1" applyBorder="1"/>
    <x:xf numFmtId="0" fontId="0" fillId="0" borderId="13" xfId="0" applyNumberFormat="1" applyFont="1" applyFill="1" applyBorder="1" applyAlignment="1">
      <x:alignment horizontal="center"/>
    </x:xf>
    <x:xf numFmtId="0" fontId="0" fillId="6" borderId="13" xfId="0" applyNumberFormat="1" applyFont="1" applyFill="1" applyBorder="1" applyAlignment="1">
      <x:alignment horizontal="center"/>
    </x:xf>
    <x:xf numFmtId="0" fontId="6" fillId="6" borderId="13" xfId="0" applyNumberFormat="1" applyFont="1" applyFill="1" applyBorder="1" applyAlignment="1">
      <x:alignment horizontal="center"/>
    </x:xf>
  </x:cellXfs>
  <x:cellStyles count="1">
    <x:cellStyle name="Normal" xfId="0"/>
  </x:cellStyles>
  <x:dxfs count="6">
    <x:dxf>
      <x:font>
        <x:b/>
        <x:color rgb="FF2F6B2D"/>
      </x:font>
      <x:fill>
        <x:patternFill patternType="solid">
          <x:bgColor rgb="FFDDF4D2"/>
        </x:patternFill>
      </x:fill>
    </x:dxf>
    <x:dxf>
      <x:font>
        <x:b/>
        <x:color rgb="FFE35D6A"/>
      </x:font>
      <x:fill>
        <x:patternFill patternType="solid">
          <x:bgColor rgb="FFFFD7DC"/>
        </x:patternFill>
      </x:fill>
    </x:dxf>
    <x:dxf>
      <x:font>
        <x:b/>
        <x:color rgb="FF8A5A00"/>
      </x:font>
      <x:fill>
        <x:patternFill patternType="solid">
          <x:bgColor rgb="FFFFE8B8"/>
        </x:patternFill>
      </x:fill>
    </x:dxf>
    <x:dxf>
      <x:font>
        <x:color rgb="FF6F8290"/>
      </x:font>
      <x:fill>
        <x:patternFill patternType="solid">
          <x:bgColor rgb="FFE8EDF1"/>
        </x:patternFill>
      </x:fill>
    </x:dxf>
    <x:dxf>
      <x:font>
        <x:b/>
        <x:color rgb="FFE35D6A"/>
      </x:font>
      <x:fill>
        <x:patternFill patternType="solid">
          <x:bgColor rgb="FFFFD7DC"/>
        </x:patternFill>
      </x:fill>
    </x:dxf>
    <x:dxf>
      <x:fill>
        <x:patternFill patternType="solid">
          <x:bgColor rgb="FFFFE8B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72e2a518714540" /><Relationship Type="http://schemas.openxmlformats.org/officeDocument/2006/relationships/theme" Target="/xl/theme/theme1.xml" Id="Rf25eeb1685a84f84" /><Relationship Type="http://schemas.openxmlformats.org/officeDocument/2006/relationships/sharedStrings" Target="/xl/sharedStrings.xml" Id="R92734ea92512466a" /><Relationship Type="http://schemas.openxmlformats.org/officeDocument/2006/relationships/worksheet" Target="/xl/worksheets/sheet1.xml" Id="Rd9b80855bee547b9" /><Relationship Type="http://schemas.openxmlformats.org/officeDocument/2006/relationships/worksheet" Target="/xl/worksheets/sheet2.xml" Id="R1fa5108088874604" /><Relationship Type="http://schemas.openxmlformats.org/officeDocument/2006/relationships/worksheet" Target="/xl/worksheets/sheet3.xml" Id="Rbad83fa66b9e46d6" /><Relationship Type="http://schemas.openxmlformats.org/officeDocument/2006/relationships/worksheet" Target="/xl/worksheets/sheet4.xml" Id="R9792b7f029ff45d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ccebee30ee4481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Execution Status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จำนวน</c:v>
          </c:tx>
          <c:cat>
            <c:strRef>
              <c:f>'Coverage'!$J$7:$J$10</c:f>
              <c:strCache>
                <c:ptCount val="0"/>
              </c:strCache>
            </c:strRef>
          </c:cat>
          <c:val>
            <c:numRef>
              <c:f>'Coverage'!$K$7:$K$10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11</xdr:row>
      <xdr:rowOff>0</xdr:rowOff>
    </xdr:from>
    <xdr:to>
      <xdr:col>17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ccebee30ee4481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webuserCasesTable" displayName="webuserCasesTable" ref="A6:S99" headerRowCount="1" totalsRowCount="0" totalsRowShown="0">
  <x:tableColumns count="19">
    <x:tableColumn id="1" name="Test Case ID"/>
    <x:tableColumn id="2" name="Requirement ID"/>
    <x:tableColumn id="3" name="หน้า"/>
    <x:tableColumn id="4" name="ฟังก์ชัน/โมดูล"/>
    <x:tableColumn id="5" name="ประเภทการทดสอบ"/>
    <x:tableColumn id="6" name="Priority"/>
    <x:tableColumn id="7" name="เงื่อนไขก่อนทดสอบ"/>
    <x:tableColumn id="8" name="ขั้นตอนทดสอบ"/>
    <x:tableColumn id="9" name="ข้อมูลทดสอบ"/>
    <x:tableColumn id="10" name="ผลลัพธ์ที่คาดหวัง"/>
    <x:tableColumn id="11" name="API / จุดเชื่อมต่อ"/>
    <x:tableColumn id="12" name="สภาพแวดล้อม"/>
    <x:tableColumn id="13" name="ผลที่เกิดขึ้นจริง"/>
    <x:tableColumn id="14" name="สถานะ"/>
    <x:tableColumn id="15" name="Severity (เมื่อ Fail)"/>
    <x:tableColumn id="16" name="Defect ID"/>
    <x:tableColumn id="17" name="ผู้ทดสอบ"/>
    <x:tableColumn id="18" name="วันที่ทดสอบ"/>
    <x:tableColumn id="19" name="หมายเหตุ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faf5dc69b14b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378697e6004d43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24" hidden="0" customWidth="1"/>
    <x:col min="4" max="4" width="28" hidden="0" customWidth="1"/>
    <x:col min="5" max="5" width="19" hidden="0" customWidth="1"/>
    <x:col min="6" max="6" width="29" hidden="0" customWidth="1"/>
    <x:col min="7" max="7" width="24" hidden="0" customWidth="1"/>
    <x:col min="8" max="8" width="24" hidden="0" customWidth="1"/>
  </x:cols>
  <x:sheetData>
    <x:row r="1" ht="34" customHeight="1">
      <x:c r="A1" s="9" t="str">
        <x:v>Planentrix — Web User Test Plan</x:v>
      </x:c>
      <x:c r="B1" s="10" t="str">
        <x:v>Planentrix — Web User Test Plan</x:v>
      </x:c>
      <x:c r="C1" s="10" t="str">
        <x:v>Planentrix — Web User Test Plan</x:v>
      </x:c>
      <x:c r="D1" s="10" t="str">
        <x:v>Planentrix — Web User Test Plan</x:v>
      </x:c>
      <x:c r="E1" s="10" t="str">
        <x:v>Planentrix — Web User Test Plan</x:v>
      </x:c>
      <x:c r="F1" s="10" t="str">
        <x:v>Planentrix — Web User Test Plan</x:v>
      </x:c>
      <x:c r="G1" s="10" t="str">
        <x:v>Planentrix — Web User Test Plan</x:v>
      </x:c>
      <x:c r="H1" s="11" t="str">
        <x:v>Planentrix — Web User Test Plan</x:v>
      </x:c>
    </x:row>
    <x:row r="2" ht="24" customHeight="1">
      <x:c r="A2" s="15" t="str">
        <x:v>แผนทดสอบเฉพาะเว็บส่วนผู้ใช้ | Test Cases 93 รายการ | Version 1.0</x:v>
      </x:c>
      <x:c r="B2" s="15" t="str">
        <x:v>แผนทดสอบเฉพาะเว็บส่วนผู้ใช้ | Test Cases 93 รายการ | Version 1.0</x:v>
      </x:c>
      <x:c r="C2" s="15" t="str">
        <x:v>แผนทดสอบเฉพาะเว็บส่วนผู้ใช้ | Test Cases 93 รายการ | Version 1.0</x:v>
      </x:c>
      <x:c r="D2" s="15" t="str">
        <x:v>แผนทดสอบเฉพาะเว็บส่วนผู้ใช้ | Test Cases 93 รายการ | Version 1.0</x:v>
      </x:c>
      <x:c r="E2" s="15" t="str">
        <x:v>แผนทดสอบเฉพาะเว็บส่วนผู้ใช้ | Test Cases 93 รายการ | Version 1.0</x:v>
      </x:c>
      <x:c r="F2" s="15" t="str">
        <x:v>แผนทดสอบเฉพาะเว็บส่วนผู้ใช้ | Test Cases 93 รายการ | Version 1.0</x:v>
      </x:c>
      <x:c r="G2" s="15" t="str">
        <x:v>แผนทดสอบเฉพาะเว็บส่วนผู้ใช้ | Test Cases 93 รายการ | Version 1.0</x:v>
      </x:c>
      <x:c r="H2" s="15" t="str">
        <x:v>แผนทดสอบเฉพาะเว็บส่วนผู้ใช้ | Test Cases 93 รายการ | Version 1.0</x:v>
      </x:c>
    </x:row>
    <x:row r="4" ht="38" customHeight="1">
      <x:c r="A4" s="25" t="str">
        <x:v>โครงการ</x:v>
      </x:c>
      <x:c r="B4" s="26" t="str">
        <x:v>Planentrix — Schedule Planner</x:v>
      </x:c>
      <x:c r="C4" s="26"/>
      <x:c r="D4" s="26"/>
      <x:c r="E4" s="26"/>
      <x:c r="F4" s="26"/>
      <x:c r="G4" s="26"/>
      <x:c r="H4" s="27"/>
    </x:row>
    <x:row r="5" ht="38" customHeight="1">
      <x:c r="A5" s="28" t="str">
        <x:v>แพลตฟอร์ม</x:v>
      </x:c>
      <x:c r="B5" s="24" t="str">
        <x:v>เว็บส่วนผู้ใช้</x:v>
      </x:c>
      <x:c r="C5" s="24"/>
      <x:c r="D5" s="24"/>
      <x:c r="E5" s="24"/>
      <x:c r="F5" s="24"/>
      <x:c r="G5" s="24"/>
      <x:c r="H5" s="29"/>
    </x:row>
    <x:row r="6" ht="38" customHeight="1">
      <x:c r="A6" s="28" t="str">
        <x:v>วัตถุประสงค์</x:v>
      </x:c>
      <x:c r="B6" s="24" t="str">
        <x:v>ยืนยันว่าเว็บส่วนผู้ใช้ทำงานครบทุก flow ข้อมูลคงอยู่หลัง refresh และตรงกับ Mobile/Backend พร้อมรองรับ browser และ viewport ที่กำหนด</x:v>
      </x:c>
      <x:c r="C6" s="24"/>
      <x:c r="D6" s="24"/>
      <x:c r="E6" s="24"/>
      <x:c r="F6" s="24"/>
      <x:c r="G6" s="24"/>
      <x:c r="H6" s="29"/>
    </x:row>
    <x:row r="7" ht="38" customHeight="1">
      <x:c r="A7" s="28" t="str">
        <x:v>ขอบเขตหน้า</x:v>
      </x:c>
      <x:c r="B7" s="24" t="str">
        <x:v>LogIn, SignIn, Main, Score &amp; Homework, Timer, Test และ Notebook Navigation</x:v>
      </x:c>
      <x:c r="C7" s="24"/>
      <x:c r="D7" s="24"/>
      <x:c r="E7" s="24"/>
      <x:c r="F7" s="24"/>
      <x:c r="G7" s="24"/>
      <x:c r="H7" s="29"/>
    </x:row>
    <x:row r="8" ht="38" customHeight="1">
      <x:c r="A8" s="28" t="str">
        <x:v>ความเสี่ยงหลัก</x:v>
      </x:c>
      <x:c r="B8" s="24" t="str">
        <x:v>Session/cookie ไม่คงอยู่, popup ถูกสันสมุดบัง, responsive/scroll ภายในกระดาษ, timezone, double submit และสถานะไม่มีเทอมถูกตีความเป็น API error</x:v>
      </x:c>
      <x:c r="C8" s="24"/>
      <x:c r="D8" s="24"/>
      <x:c r="E8" s="24"/>
      <x:c r="F8" s="24"/>
      <x:c r="G8" s="24"/>
      <x:c r="H8" s="29"/>
    </x:row>
    <x:row r="9" ht="38" customHeight="1">
      <x:c r="A9" s="28" t="str">
        <x:v>ไม่อยู่ในขอบเขต</x:v>
      </x:c>
      <x:c r="B9" s="24" t="str">
        <x:v>Penetration test เชิงลึก, Load test ระดับ production, บริการภายนอกที่ไม่มี test environment และข้อมูล production</x:v>
      </x:c>
      <x:c r="C9" s="24"/>
      <x:c r="D9" s="24"/>
      <x:c r="E9" s="24"/>
      <x:c r="F9" s="24"/>
      <x:c r="G9" s="24"/>
      <x:c r="H9" s="29"/>
    </x:row>
    <x:row r="10" ht="38" customHeight="1">
      <x:c r="A10" s="28" t="str">
        <x:v>จำนวน Test Cases</x:v>
      </x:c>
      <x:c r="B10" s="24" t="n">
        <x:v>93</x:v>
      </x:c>
      <x:c r="C10" s="24"/>
      <x:c r="D10" s="24"/>
      <x:c r="E10" s="24"/>
      <x:c r="F10" s="24"/>
      <x:c r="G10" s="24"/>
      <x:c r="H10" s="29"/>
    </x:row>
    <x:row r="11" ht="38" customHeight="1">
      <x:c r="A11" s="30" t="str">
        <x:v>หลักการ</x:v>
      </x:c>
      <x:c r="B11" s="31" t="str">
        <x:v>ใช้ข้อมูลจำลองเท่านั้น ทุก Fail ต้องระบุ Severity/Defect ID และแนบหลักฐานใน Notes</x:v>
      </x:c>
      <x:c r="C11" s="31"/>
      <x:c r="D11" s="31"/>
      <x:c r="E11" s="31"/>
      <x:c r="F11" s="31"/>
      <x:c r="G11" s="31"/>
      <x:c r="H11" s="32"/>
    </x:row>
    <x:row r="13" ht="25" customHeight="1">
      <x:c r="A13" s="35" t="str">
        <x:v>1. Test Strategy</x:v>
      </x:c>
      <x:c r="B13" s="35" t="str">
        <x:v>1. Test Strategy</x:v>
      </x:c>
      <x:c r="C13" s="35" t="str">
        <x:v>1. Test Strategy</x:v>
      </x:c>
      <x:c r="D13" s="35" t="str">
        <x:v>1. Test Strategy</x:v>
      </x:c>
      <x:c r="E13" s="35" t="str">
        <x:v>1. Test Strategy</x:v>
      </x:c>
      <x:c r="F13" s="35" t="str">
        <x:v>1. Test Strategy</x:v>
      </x:c>
      <x:c r="G13" s="35" t="str">
        <x:v>1. Test Strategy</x:v>
      </x:c>
      <x:c r="H13" s="35" t="str">
        <x:v>1. Test Strategy</x:v>
      </x:c>
    </x:row>
    <x:row r="14">
      <x:c r="A14" s="94" t="str">
        <x:v>ระดับ</x:v>
      </x:c>
      <x:c r="B14" s="94" t="str">
        <x:v>เป้าหมาย</x:v>
      </x:c>
      <x:c r="C14" s="94" t="str">
        <x:v>สิ่งที่ตรวจ</x:v>
      </x:c>
      <x:c r="D14" s="94" t="str">
        <x:v>เจ้าของ</x:v>
      </x:c>
      <x:c r="E14" s="94" t="str">
        <x:v>หลักฐาน</x:v>
      </x:c>
      <x:c r="F14" s="94" t="str">
        <x:v>ความถี่</x:v>
      </x:c>
      <x:c r="G14" s="94" t="str">
        <x:v>เครื่องมือ</x:v>
      </x:c>
      <x:c r="H14" s="94" t="str">
        <x:v>เกณฑ์ผ่าน</x:v>
      </x:c>
    </x:row>
    <x:row r="15">
      <x:c r="A15" s="95" t="str">
        <x:v>Smoke</x:v>
      </x:c>
      <x:c r="B15" s="96" t="str">
        <x:v>ยืนยันว่า build เปิดและ flow หลักเริ่มได้</x:v>
      </x:c>
      <x:c r="C15" s="96" t="str">
        <x:v>Login + เปิดทุกหน้า + API หลัก</x:v>
      </x:c>
      <x:c r="D15" s="96" t="str">
        <x:v>QA</x:v>
      </x:c>
      <x:c r="E15" s="96" t="str">
        <x:v>ภาพ/ผลรัน</x:v>
      </x:c>
      <x:c r="F15" s="96" t="str">
        <x:v>ทุก build</x:v>
      </x:c>
      <x:c r="G15" s="96" t="str">
        <x:v>Device/Browser</x:v>
      </x:c>
      <x:c r="H15" s="97" t="str">
        <x:v>P0 smoke ผ่าน</x:v>
      </x:c>
    </x:row>
    <x:row r="16">
      <x:c r="A16" s="95" t="str">
        <x:v>Functional</x:v>
      </x:c>
      <x:c r="B16" s="96" t="str">
        <x:v>ตรวจ business flow</x:v>
      </x:c>
      <x:c r="C16" s="96" t="str">
        <x:v>LogIn, SignIn, Main, Score &amp; Homework, Timer, Test และ Notebook Navigation</x:v>
      </x:c>
      <x:c r="D16" s="96" t="str">
        <x:v>QA</x:v>
      </x:c>
      <x:c r="E16" s="96" t="str">
        <x:v>Actual result</x:v>
      </x:c>
      <x:c r="F16" s="96" t="str">
        <x:v>ทุก sprint</x:v>
      </x:c>
      <x:c r="G16" s="96" t="str">
        <x:v>Manual + automated</x:v>
      </x:c>
      <x:c r="H16" s="97" t="str">
        <x:v>Expected result ตรง</x:v>
      </x:c>
    </x:row>
    <x:row r="17">
      <x:c r="A17" s="95" t="str">
        <x:v>Integration</x:v>
      </x:c>
      <x:c r="B17" s="96" t="str">
        <x:v>ตรวจ Frontend ↔ Backend ↔ Database</x:v>
      </x:c>
      <x:c r="C17" s="96" t="str">
        <x:v>Auth, CRUD, persistence, cross-channel</x:v>
      </x:c>
      <x:c r="D17" s="96" t="str">
        <x:v>QA/Dev</x:v>
      </x:c>
      <x:c r="E17" s="96" t="str">
        <x:v>Request/response</x:v>
      </x:c>
      <x:c r="F17" s="96" t="str">
        <x:v>ทุก API change</x:v>
      </x:c>
      <x:c r="G17" s="96" t="str">
        <x:v>Network log</x:v>
      </x:c>
      <x:c r="H17" s="97" t="str">
        <x:v>ข้อมูลคงอยู่และไม่ซ้ำ</x:v>
      </x:c>
    </x:row>
    <x:row r="18">
      <x:c r="A18" s="95" t="str">
        <x:v>UI/Responsive</x:v>
      </x:c>
      <x:c r="B18" s="96" t="str">
        <x:v>ตรวจ layout และการเข้าถึง</x:v>
      </x:c>
      <x:c r="C18" s="96" t="str">
        <x:v>Viewport/device, dropdown, modal, scroll</x:v>
      </x:c>
      <x:c r="D18" s="96" t="str">
        <x:v>QA/Designer</x:v>
      </x:c>
      <x:c r="E18" s="96" t="str">
        <x:v>Screenshot</x:v>
      </x:c>
      <x:c r="F18" s="96" t="str">
        <x:v>ทุก UI change</x:v>
      </x:c>
      <x:c r="G18" s="96" t="str">
        <x:v>Viewport matrix</x:v>
      </x:c>
      <x:c r="H18" s="97" t="str">
        <x:v>ไม่ล้น/ไม่ถูกบัง</x:v>
      </x:c>
    </x:row>
    <x:row r="19">
      <x:c r="A19" s="95" t="str">
        <x:v>Regression</x:v>
      </x:c>
      <x:c r="B19" s="96" t="str">
        <x:v>ตรวจว่าฟังก์ชันเดิมไม่เสีย</x:v>
      </x:c>
      <x:c r="C19" s="96" t="str">
        <x:v>Shared components และ calculations</x:v>
      </x:c>
      <x:c r="D19" s="96" t="str">
        <x:v>QA</x:v>
      </x:c>
      <x:c r="E19" s="96" t="str">
        <x:v>Regression report</x:v>
      </x:c>
      <x:c r="F19" s="96" t="str">
        <x:v>ก่อน release</x:v>
      </x:c>
      <x:c r="G19" s="96" t="str">
        <x:v>Automated + manual</x:v>
      </x:c>
      <x:c r="H19" s="97" t="str">
        <x:v>P0/P1 ผ่าน</x:v>
      </x:c>
    </x:row>
    <x:row r="20">
      <x:c r="A20" s="95" t="str">
        <x:v>Security/Recovery</x:v>
      </x:c>
      <x:c r="B20" s="96" t="str">
        <x:v>ตรวจ session/permission/error</x:v>
      </x:c>
      <x:c r="C20" s="96" t="str">
        <x:v>401, timeout, offline, double submit</x:v>
      </x:c>
      <x:c r="D20" s="96" t="str">
        <x:v>QA/Dev</x:v>
      </x:c>
      <x:c r="E20" s="96" t="str">
        <x:v>Log ที่ปกปิดข้อมูล</x:v>
      </x:c>
      <x:c r="F20" s="96" t="str">
        <x:v>ก่อน release</x:v>
      </x:c>
      <x:c r="G20" s="96" t="str">
        <x:v>API/client tools</x:v>
      </x:c>
      <x:c r="H20" s="97" t="str">
        <x:v>ไม่มีข้อมูลรั่ว/ซ้ำ</x:v>
      </x:c>
    </x:row>
    <x:row r="21">
      <x:c r="A21" s="95"/>
      <x:c r="B21" s="96"/>
      <x:c r="C21" s="96"/>
      <x:c r="D21" s="96"/>
      <x:c r="E21" s="96"/>
      <x:c r="F21" s="96"/>
      <x:c r="G21" s="96"/>
      <x:c r="H21" s="97"/>
    </x:row>
    <x:row r="22" ht="25" customHeight="1">
      <x:c r="A22" s="98" t="str">
        <x:v>2. Environment Matrix</x:v>
      </x:c>
      <x:c r="B22" s="99" t="str">
        <x:v>2. Environment Matrix</x:v>
      </x:c>
      <x:c r="C22" s="99" t="str">
        <x:v>2. Environment Matrix</x:v>
      </x:c>
      <x:c r="D22" s="99" t="str">
        <x:v>2. Environment Matrix</x:v>
      </x:c>
      <x:c r="E22" s="99" t="str">
        <x:v>2. Environment Matrix</x:v>
      </x:c>
      <x:c r="F22" s="99" t="str">
        <x:v>2. Environment Matrix</x:v>
      </x:c>
      <x:c r="G22" s="99" t="str">
        <x:v>2. Environment Matrix</x:v>
      </x:c>
      <x:c r="H22" s="100" t="str">
        <x:v>2. Environment Matrix</x:v>
      </x:c>
    </x:row>
    <x:row r="23">
      <x:c r="A23" s="94" t="str">
        <x:v>กลุ่ม</x:v>
      </x:c>
      <x:c r="B23" s="94" t="str">
        <x:v>ระบบ/Browser</x:v>
      </x:c>
      <x:c r="C23" s="94" t="str">
        <x:v>ขนาด/Viewport</x:v>
      </x:c>
      <x:c r="D23" s="94" t="str">
        <x:v>Network</x:v>
      </x:c>
      <x:c r="E23" s="94" t="str">
        <x:v>ภาษา/Timezone</x:v>
      </x:c>
      <x:c r="F23" s="94" t="str">
        <x:v>หมายเหตุ</x:v>
      </x:c>
      <x:c r="G23" s="96"/>
      <x:c r="H23" s="97"/>
    </x:row>
    <x:row r="24">
      <x:c r="A24" s="95" t="str">
        <x:v>Chrome</x:v>
      </x:c>
      <x:c r="B24" s="96" t="str">
        <x:v>Chrome ล่าสุด</x:v>
      </x:c>
      <x:c r="C24" s="96" t="str">
        <x:v>1366x768 / 1920x1080</x:v>
      </x:c>
      <x:c r="D24" s="96" t="str">
        <x:v>ปกติ/ช้า/Offline</x:v>
      </x:c>
      <x:c r="E24" s="96" t="str">
        <x:v>ไทย / Asia-Bangkok</x:v>
      </x:c>
      <x:c r="F24" s="96" t="str">
        <x:v>ทดสอบหลัก</x:v>
      </x:c>
      <x:c r="G24" s="96"/>
      <x:c r="H24" s="97"/>
    </x:row>
    <x:row r="25">
      <x:c r="A25" s="95" t="str">
        <x:v>Edge</x:v>
      </x:c>
      <x:c r="B25" s="96" t="str">
        <x:v>Edge ล่าสุด</x:v>
      </x:c>
      <x:c r="C25" s="96" t="str">
        <x:v>1366x768</x:v>
      </x:c>
      <x:c r="D25" s="96" t="str">
        <x:v>ปกติ</x:v>
      </x:c>
      <x:c r="E25" s="96" t="str">
        <x:v>ไทย / Asia-Bangkok</x:v>
      </x:c>
      <x:c r="F25" s="96" t="str">
        <x:v>Compatibility</x:v>
      </x:c>
      <x:c r="G25" s="96"/>
      <x:c r="H25" s="97"/>
    </x:row>
    <x:row r="26">
      <x:c r="A26" s="95" t="str">
        <x:v>Safari</x:v>
      </x:c>
      <x:c r="B26" s="96" t="str">
        <x:v>Safari ล่าสุด</x:v>
      </x:c>
      <x:c r="C26" s="96" t="str">
        <x:v>Mac 1440x900</x:v>
      </x:c>
      <x:c r="D26" s="96" t="str">
        <x:v>ปกติ</x:v>
      </x:c>
      <x:c r="E26" s="96" t="str">
        <x:v>ไทย / Asia-Bangkok</x:v>
      </x:c>
      <x:c r="F26" s="96" t="str">
        <x:v>ถ้ามีเครื่อง</x:v>
      </x:c>
      <x:c r="G26" s="96"/>
      <x:c r="H26" s="97"/>
    </x:row>
    <x:row r="27">
      <x:c r="A27" s="95" t="str">
        <x:v>Tablet Web</x:v>
      </x:c>
      <x:c r="B27" s="96" t="str">
        <x:v>Chrome/Safari</x:v>
      </x:c>
      <x:c r="C27" s="96" t="str">
        <x:v>768x1024</x:v>
      </x:c>
      <x:c r="D27" s="96" t="str">
        <x:v>ปกติ/ช้า</x:v>
      </x:c>
      <x:c r="E27" s="96" t="str">
        <x:v>ไทย / Asia-Bangkok</x:v>
      </x:c>
      <x:c r="F27" s="96" t="str">
        <x:v>Responsive</x:v>
      </x:c>
      <x:c r="G27" s="96"/>
      <x:c r="H27" s="97"/>
    </x:row>
    <x:row r="28">
      <x:c r="A28" s="95" t="str">
        <x:v>Cross-channel</x:v>
      </x:c>
      <x:c r="B28" s="96" t="str">
        <x:v>Web User + Mobile</x:v>
      </x:c>
      <x:c r="C28" s="96" t="str">
        <x:v>พร้อมกัน 2 ช่องทาง</x:v>
      </x:c>
      <x:c r="D28" s="96" t="str">
        <x:v>ปกติ/ตัดสลับ</x:v>
      </x:c>
      <x:c r="E28" s="96" t="str">
        <x:v>ไทย / Asia-Bangkok</x:v>
      </x:c>
      <x:c r="F28" s="96" t="str">
        <x:v>ข้อมูลต้องตรงกัน</x:v>
      </x:c>
      <x:c r="G28" s="96"/>
      <x:c r="H28" s="97"/>
    </x:row>
    <x:row r="29">
      <x:c r="A29" s="95"/>
      <x:c r="B29" s="96"/>
      <x:c r="C29" s="96"/>
      <x:c r="D29" s="96"/>
      <x:c r="E29" s="96"/>
      <x:c r="F29" s="96"/>
      <x:c r="G29" s="96"/>
      <x:c r="H29" s="97"/>
    </x:row>
    <x:row r="30" ht="25" customHeight="1">
      <x:c r="A30" s="101" t="str">
        <x:v>3. Entry / Exit Criteria</x:v>
      </x:c>
      <x:c r="B30" s="102" t="str">
        <x:v>3. Entry / Exit Criteria</x:v>
      </x:c>
      <x:c r="C30" s="102" t="str">
        <x:v>3. Entry / Exit Criteria</x:v>
      </x:c>
      <x:c r="D30" s="102" t="str">
        <x:v>3. Entry / Exit Criteria</x:v>
      </x:c>
      <x:c r="E30" s="102" t="str">
        <x:v>3. Entry / Exit Criteria</x:v>
      </x:c>
      <x:c r="F30" s="102" t="str">
        <x:v>3. Entry / Exit Criteria</x:v>
      </x:c>
      <x:c r="G30" s="102" t="str">
        <x:v>3. Entry / Exit Criteria</x:v>
      </x:c>
      <x:c r="H30" s="103" t="str">
        <x:v>3. Entry / Exit Criteria</x:v>
      </x:c>
    </x:row>
    <x:row r="31">
      <x:c r="A31" s="94" t="str">
        <x:v>Entry Criteria</x:v>
      </x:c>
      <x:c r="B31" s="94" t="str">
        <x:v>รายละเอียด</x:v>
      </x:c>
      <x:c r="C31" s="94" t="str">
        <x:v>Exit Criteria</x:v>
      </x:c>
      <x:c r="D31" s="94" t="str">
        <x:v>รายละเอียด</x:v>
      </x:c>
      <x:c r="E31" s="96"/>
      <x:c r="F31" s="96"/>
      <x:c r="G31" s="96"/>
      <x:c r="H31" s="97"/>
    </x:row>
    <x:row r="32">
      <x:c r="A32" s="95" t="str">
        <x:v>Build พร้อม</x:v>
      </x:c>
      <x:c r="B32" s="96" t="str">
        <x:v>ติดตั้ง/เปิดได้และระบุ version</x:v>
      </x:c>
      <x:c r="C32" s="96" t="str">
        <x:v>P0/P1</x:v>
      </x:c>
      <x:c r="D32" s="96" t="str">
        <x:v>ผ่านทั้งหมดหรืออนุมัติความเสี่ยงเป็นลายลักษณ์อักษร</x:v>
      </x:c>
      <x:c r="E32" s="96"/>
      <x:c r="F32" s="96"/>
      <x:c r="G32" s="96"/>
      <x:c r="H32" s="97"/>
    </x:row>
    <x:row r="33">
      <x:c r="A33" s="95" t="str">
        <x:v>Environment พร้อม</x:v>
      </x:c>
      <x:c r="B33" s="96" t="str">
        <x:v>QA API/DB และ test account ใช้งานได้</x:v>
      </x:c>
      <x:c r="C33" s="96" t="str">
        <x:v>P2/P3</x:v>
      </x:c>
      <x:c r="D33" s="96" t="str">
        <x:v>ไม่มี defect ที่ขวาง flow หลัก</x:v>
      </x:c>
      <x:c r="E33" s="96"/>
      <x:c r="F33" s="96"/>
      <x:c r="G33" s="96"/>
      <x:c r="H33" s="97"/>
    </x:row>
    <x:row r="34">
      <x:c r="A34" s="95" t="str">
        <x:v>Test data พร้อม</x:v>
      </x:c>
      <x:c r="B34" s="96" t="str">
        <x:v>มีทุก business state ที่ระบุใน Test Data</x:v>
      </x:c>
      <x:c r="C34" s="96" t="str">
        <x:v>Coverage</x:v>
      </x:c>
      <x:c r="D34" s="96" t="str">
        <x:v>ดำเนินการ Planned P0/P1 ครบ 100%</x:v>
      </x:c>
      <x:c r="E34" s="96"/>
      <x:c r="F34" s="96"/>
      <x:c r="G34" s="96"/>
      <x:c r="H34" s="97"/>
    </x:row>
    <x:row r="35">
      <x:c r="A35" s="95" t="str">
        <x:v>Requirements ชัด</x:v>
      </x:c>
      <x:c r="B35" s="96" t="str">
        <x:v>Business rules/API contract ยืนยันแล้ว</x:v>
      </x:c>
      <x:c r="C35" s="96" t="str">
        <x:v>Regression</x:v>
      </x:c>
      <x:c r="D35" s="96" t="str">
        <x:v>Smoke และ regression ที่เกี่ยวข้องผ่าน</x:v>
      </x:c>
      <x:c r="E35" s="96"/>
      <x:c r="F35" s="96"/>
      <x:c r="G35" s="96"/>
      <x:c r="H35" s="97"/>
    </x:row>
    <x:row r="36">
      <x:c r="A36" s="95" t="str">
        <x:v>Dependencies พร้อม</x:v>
      </x:c>
      <x:c r="B36" s="96" t="str">
        <x:v>Migration/config ที่จำเป็นรันแล้ว</x:v>
      </x:c>
      <x:c r="C36" s="96" t="str">
        <x:v>Data integrity</x:v>
      </x:c>
      <x:c r="D36" s="96" t="str">
        <x:v>ไม่มีข้อมูลซ้ำ/สูญหาย</x:v>
      </x:c>
      <x:c r="E36" s="96"/>
      <x:c r="F36" s="96"/>
      <x:c r="G36" s="96"/>
      <x:c r="H36" s="97"/>
    </x:row>
    <x:row r="37">
      <x:c r="A37" s="95" t="str">
        <x:v>Owner พร้อม</x:v>
      </x:c>
      <x:c r="B37" s="96" t="str">
        <x:v>มีผู้รับผิดชอบ triage</x:v>
      </x:c>
      <x:c r="C37" s="96" t="str">
        <x:v>Sign-off</x:v>
      </x:c>
      <x:c r="D37" s="96" t="str">
        <x:v>QA/PO/Tech Lead ยืนยันผล</x:v>
      </x:c>
      <x:c r="E37" s="96"/>
      <x:c r="F37" s="96"/>
      <x:c r="G37" s="96"/>
      <x:c r="H37" s="97"/>
    </x:row>
    <x:row r="38">
      <x:c r="A38" s="95"/>
      <x:c r="B38" s="96"/>
      <x:c r="C38" s="96"/>
      <x:c r="D38" s="96"/>
      <x:c r="E38" s="96"/>
      <x:c r="F38" s="96"/>
      <x:c r="G38" s="96"/>
      <x:c r="H38" s="97"/>
    </x:row>
    <x:row r="39" ht="25" customHeight="1">
      <x:c r="A39" s="104" t="str">
        <x:v>4. Priority / Severity</x:v>
      </x:c>
      <x:c r="B39" s="105" t="str">
        <x:v>4. Priority / Severity</x:v>
      </x:c>
      <x:c r="C39" s="105" t="str">
        <x:v>4. Priority / Severity</x:v>
      </x:c>
      <x:c r="D39" s="105" t="str">
        <x:v>4. Priority / Severity</x:v>
      </x:c>
      <x:c r="E39" s="105" t="str">
        <x:v>4. Priority / Severity</x:v>
      </x:c>
      <x:c r="F39" s="105" t="str">
        <x:v>4. Priority / Severity</x:v>
      </x:c>
      <x:c r="G39" s="105" t="str">
        <x:v>4. Priority / Severity</x:v>
      </x:c>
      <x:c r="H39" s="106" t="str">
        <x:v>4. Priority / Severity</x:v>
      </x:c>
    </x:row>
    <x:row r="40">
      <x:c r="A40" s="94" t="str">
        <x:v>Priority</x:v>
      </x:c>
      <x:c r="B40" s="94" t="str">
        <x:v>ความหมาย</x:v>
      </x:c>
      <x:c r="C40" s="94" t="str">
        <x:v>กำหนดทดสอบ</x:v>
      </x:c>
      <x:c r="D40" s="94" t="str">
        <x:v>ตัวอย่าง</x:v>
      </x:c>
      <x:c r="E40" s="94" t="str">
        <x:v>Severity</x:v>
      </x:c>
      <x:c r="F40" s="94" t="str">
        <x:v>ผลกระทบ</x:v>
      </x:c>
      <x:c r="G40" s="94" t="str">
        <x:v>ตัวอย่าง</x:v>
      </x:c>
      <x:c r="H40" s="94" t="str">
        <x:v>การจัดการ</x:v>
      </x:c>
    </x:row>
    <x:row r="41">
      <x:c r="A41" s="95" t="str">
        <x:v>P0-Critical</x:v>
      </x:c>
      <x:c r="B41" s="96" t="str">
        <x:v>เส้นทางหลัก/ข้อมูล/ความปลอดภัย</x:v>
      </x:c>
      <x:c r="C41" s="96" t="str">
        <x:v>ทุก build/release</x:v>
      </x:c>
      <x:c r="D41" s="96" t="str">
        <x:v>Login, Save, Submit, Calculation</x:v>
      </x:c>
      <x:c r="E41" s="96" t="str">
        <x:v>S1-Blocker</x:v>
      </x:c>
      <x:c r="F41" s="96" t="str">
        <x:v>ระบบใช้ต่อไม่ได้/ข้อมูลเสีย</x:v>
      </x:c>
      <x:c r="G41" s="96" t="str">
        <x:v>Login ไม่ได้/คะแนนผิด</x:v>
      </x:c>
      <x:c r="H41" s="97" t="str">
        <x:v>หยุด release</x:v>
      </x:c>
    </x:row>
    <x:row r="42">
      <x:c r="A42" s="95" t="str">
        <x:v>P1-High</x:v>
      </x:c>
      <x:c r="B42" s="96" t="str">
        <x:v>ฟังก์ชันสำคัญ</x:v>
      </x:c>
      <x:c r="C42" s="96" t="str">
        <x:v>ทุก sprint</x:v>
      </x:c>
      <x:c r="D42" s="96" t="str">
        <x:v>CRUD, responsive หลัก</x:v>
      </x:c>
      <x:c r="E42" s="96" t="str">
        <x:v>S2-Major</x:v>
      </x:c>
      <x:c r="F42" s="96" t="str">
        <x:v>ฟังก์ชันหลักเสียแต่มีทางเลี่ยง</x:v>
      </x:c>
      <x:c r="G42" s="96" t="str">
        <x:v>แก้ไข/ลบไม่ได้</x:v>
      </x:c>
      <x:c r="H42" s="97" t="str">
        <x:v>แก้ก่อน release</x:v>
      </x:c>
    </x:row>
    <x:row r="43">
      <x:c r="A43" s="95" t="str">
        <x:v>P2-Medium</x:v>
      </x:c>
      <x:c r="B43" s="96" t="str">
        <x:v>รองรับบางกรณี/ความสะดวก</x:v>
      </x:c>
      <x:c r="C43" s="96" t="str">
        <x:v>Regression</x:v>
      </x:c>
      <x:c r="D43" s="96" t="str">
        <x:v>Hover, keyboard, browser รอง</x:v>
      </x:c>
      <x:c r="E43" s="96" t="str">
        <x:v>S3-Minor</x:v>
      </x:c>
      <x:c r="F43" s="96" t="str">
        <x:v>ไม่ขวาง flow</x:v>
      </x:c>
      <x:c r="G43" s="96" t="str">
        <x:v>สี/ข้อความผิด</x:v>
      </x:c>
      <x:c r="H43" s="97" t="str">
        <x:v>วางแผนแก้</x:v>
      </x:c>
    </x:row>
    <x:row r="44">
      <x:c r="A44" s="95" t="str">
        <x:v>P3-Low</x:v>
      </x:c>
      <x:c r="B44" s="96" t="str">
        <x:v>ปรับปรุงเล็กน้อย</x:v>
      </x:c>
      <x:c r="C44" s="96" t="str">
        <x:v>เมื่อมีเวลา</x:v>
      </x:c>
      <x:c r="D44" s="96" t="str">
        <x:v>Cosmetic</x:v>
      </x:c>
      <x:c r="E44" s="96" t="str">
        <x:v>S4-Cosmetic</x:v>
      </x:c>
      <x:c r="F44" s="96" t="str">
        <x:v>ความสวยงาม</x:v>
      </x:c>
      <x:c r="G44" s="96" t="str">
        <x:v>Spacing</x:v>
      </x:c>
      <x:c r="H44" s="97" t="str">
        <x:v>Backlog</x:v>
      </x:c>
    </x:row>
    <x:row r="45">
      <x:c r="A45" s="95"/>
      <x:c r="B45" s="96"/>
      <x:c r="C45" s="96"/>
      <x:c r="D45" s="96"/>
      <x:c r="E45" s="96"/>
      <x:c r="F45" s="96"/>
      <x:c r="G45" s="96"/>
      <x:c r="H45" s="97"/>
    </x:row>
    <x:row r="46" ht="25" customHeight="1">
      <x:c r="A46" s="107" t="str">
        <x:v>5. Execution Workflow</x:v>
      </x:c>
      <x:c r="B46" s="108" t="str">
        <x:v>5. Execution Workflow</x:v>
      </x:c>
      <x:c r="C46" s="108" t="str">
        <x:v>5. Execution Workflow</x:v>
      </x:c>
      <x:c r="D46" s="108" t="str">
        <x:v>5. Execution Workflow</x:v>
      </x:c>
      <x:c r="E46" s="108" t="str">
        <x:v>5. Execution Workflow</x:v>
      </x:c>
      <x:c r="F46" s="108" t="str">
        <x:v>5. Execution Workflow</x:v>
      </x:c>
      <x:c r="G46" s="108" t="str">
        <x:v>5. Execution Workflow</x:v>
      </x:c>
      <x:c r="H46" s="109" t="str">
        <x:v>5. Execution Workflow</x:v>
      </x:c>
    </x:row>
    <x:row r="47">
      <x:c r="A47" s="95" t="str">
        <x:v>1</x:v>
      </x:c>
      <x:c r="B47" s="96" t="str">
        <x:v>เลือก Test Case ตามหน้า/Priority</x:v>
      </x:c>
      <x:c r="C47" s="96" t="str">
        <x:v>2</x:v>
      </x:c>
      <x:c r="D47" s="96" t="str">
        <x:v>เตรียม Test Data</x:v>
      </x:c>
      <x:c r="E47" s="96" t="str">
        <x:v>3</x:v>
      </x:c>
      <x:c r="F47" s="96" t="str">
        <x:v>รันและกรอก Actual Result</x:v>
      </x:c>
      <x:c r="G47" s="96" t="str">
        <x:v>4</x:v>
      </x:c>
      <x:c r="H47" s="97" t="str">
        <x:v>เลือก Status</x:v>
      </x:c>
    </x:row>
    <x:row r="48">
      <x:c r="A48" s="95" t="str">
        <x:v>5</x:v>
      </x:c>
      <x:c r="B48" s="96" t="str">
        <x:v>ถ้า Fail ใส่ Severity/Defect ID</x:v>
      </x:c>
      <x:c r="C48" s="96" t="str">
        <x:v>6</x:v>
      </x:c>
      <x:c r="D48" s="96" t="str">
        <x:v>แนบหลักฐานใน Notes</x:v>
      </x:c>
      <x:c r="E48" s="96" t="str">
        <x:v>7</x:v>
      </x:c>
      <x:c r="F48" s="96" t="str">
        <x:v>Retest หลังแก้</x:v>
      </x:c>
      <x:c r="G48" s="96" t="str">
        <x:v>8</x:v>
      </x:c>
      <x:c r="H48" s="97" t="str">
        <x:v>รัน Regression ที่เกี่ยวข้อง</x:v>
      </x:c>
    </x:row>
    <x:row r="49">
      <x:c r="A49" s="95" t="str">
        <x:v>Status</x:v>
      </x:c>
      <x:c r="B49" s="96" t="str">
        <x:v>Not Run / Pass / Fail / Blocked</x:v>
      </x:c>
      <x:c r="C49" s="96" t="str">
        <x:v>เป้าหมาย</x:v>
      </x:c>
      <x:c r="D49" s="96" t="str">
        <x:v>Pass rate P0/P1 = 100%</x:v>
      </x:c>
      <x:c r="E49" s="96" t="str">
        <x:v>Triage</x:v>
      </x:c>
      <x:c r="F49" s="96" t="str">
        <x:v>P0/S1 ก่อน</x:v>
      </x:c>
      <x:c r="G49" s="96" t="str">
        <x:v>Report</x:v>
      </x:c>
      <x:c r="H49" s="97" t="str">
        <x:v>ใช้ชีต Coverage</x:v>
      </x:c>
    </x:row>
    <x:row r="50">
      <x:c r="A50" s="95" t="str">
        <x:v>Version</x:v>
      </x:c>
      <x:c r="B50" s="96" t="str">
        <x:v>1.0</x:v>
      </x:c>
      <x:c r="C50" s="96" t="str">
        <x:v>วันที่</x:v>
      </x:c>
      <x:c r="D50" s="96" t="str">
        <x:v>18/08/2569</x:v>
      </x:c>
      <x:c r="E50" s="96" t="str">
        <x:v>เจ้าของ</x:v>
      </x:c>
      <x:c r="F50" s="96" t="str">
        <x:v>QA Lead</x:v>
      </x:c>
      <x:c r="G50" s="96" t="str">
        <x:v>อนุมัติ</x:v>
      </x:c>
      <x:c r="H50" s="97" t="str">
        <x:v>PO / Tech Lead</x:v>
      </x:c>
    </x:row>
    <x:row r="51">
      <x:c r="A51" s="95" t="str">
        <x:v>หมายเหตุ</x:v>
      </x:c>
      <x:c r="B51" s="96" t="str">
        <x:v>เพิ่ม Test Case ได้ แต่ห้ามใช้ ID ซ้ำ</x:v>
      </x:c>
      <x:c r="C51" s="96" t="str"/>
      <x:c r="D51" s="96" t="str"/>
      <x:c r="E51" s="96" t="str"/>
      <x:c r="F51" s="96" t="str"/>
      <x:c r="G51" s="96" t="str"/>
      <x:c r="H51" s="97" t="str"/>
    </x:row>
  </x:sheetData>
  <x:mergeCells>
    <x:mergeCell ref="A1:H1"/>
    <x:mergeCell ref="A2:H2"/>
    <x:mergeCell ref="B4:H4"/>
    <x:mergeCell ref="B5:H5"/>
    <x:mergeCell ref="B6:H6"/>
    <x:mergeCell ref="B7:H7"/>
    <x:mergeCell ref="B8:H8"/>
    <x:mergeCell ref="B9:H9"/>
    <x:mergeCell ref="B10:H10"/>
    <x:mergeCell ref="B11:H11"/>
    <x:mergeCell ref="A13:H13"/>
    <x:mergeCell ref="A22:H22"/>
    <x:mergeCell ref="A30:H30"/>
    <x:mergeCell ref="A39:H39"/>
    <x:mergeCell ref="A46:H4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20" hidden="0" customWidth="1"/>
    <x:col min="4" max="4" width="26" hidden="0" customWidth="1"/>
    <x:col min="5" max="5" width="18" hidden="0" customWidth="1"/>
    <x:col min="6" max="6" width="14" hidden="0" customWidth="1"/>
    <x:col min="7" max="7" width="30" hidden="0" customWidth="1"/>
    <x:col min="8" max="8" width="42" hidden="0" customWidth="1"/>
    <x:col min="9" max="9" width="25" hidden="0" customWidth="1"/>
    <x:col min="10" max="10" width="42" hidden="0" customWidth="1"/>
    <x:col min="11" max="11" width="27" hidden="0" customWidth="1"/>
    <x:col min="12" max="12" width="24" hidden="0" customWidth="1"/>
    <x:col min="13" max="13" width="32" hidden="0" customWidth="1"/>
    <x:col min="14" max="14" width="13" hidden="0" customWidth="1"/>
    <x:col min="15" max="15" width="16" hidden="0" customWidth="1"/>
    <x:col min="16" max="16" width="14" hidden="0" customWidth="1"/>
    <x:col min="17" max="17" width="16" hidden="0" customWidth="1"/>
    <x:col min="18" max="18" width="14" hidden="0" customWidth="1"/>
    <x:col min="19" max="19" width="28" hidden="0" customWidth="1"/>
  </x:cols>
  <x:sheetData>
    <x:row r="1" ht="34" customHeight="1">
      <x:c r="A1" s="9" t="str">
        <x:v>Planentrix — Web User Test Cases</x:v>
      </x:c>
      <x:c r="B1" s="10" t="str">
        <x:v>Planentrix — Web User Test Cases</x:v>
      </x:c>
      <x:c r="C1" s="10" t="str">
        <x:v>Planentrix — Web User Test Cases</x:v>
      </x:c>
      <x:c r="D1" s="10" t="str">
        <x:v>Planentrix — Web User Test Cases</x:v>
      </x:c>
      <x:c r="E1" s="10" t="str">
        <x:v>Planentrix — Web User Test Cases</x:v>
      </x:c>
      <x:c r="F1" s="10" t="str">
        <x:v>Planentrix — Web User Test Cases</x:v>
      </x:c>
      <x:c r="G1" s="10" t="str">
        <x:v>Planentrix — Web User Test Cases</x:v>
      </x:c>
      <x:c r="H1" s="10" t="str">
        <x:v>Planentrix — Web User Test Cases</x:v>
      </x:c>
      <x:c r="I1" s="10" t="str">
        <x:v>Planentrix — Web User Test Cases</x:v>
      </x:c>
      <x:c r="J1" s="10" t="str">
        <x:v>Planentrix — Web User Test Cases</x:v>
      </x:c>
      <x:c r="K1" s="10" t="str">
        <x:v>Planentrix — Web User Test Cases</x:v>
      </x:c>
      <x:c r="L1" s="10" t="str">
        <x:v>Planentrix — Web User Test Cases</x:v>
      </x:c>
      <x:c r="M1" s="10" t="str">
        <x:v>Planentrix — Web User Test Cases</x:v>
      </x:c>
      <x:c r="N1" s="10" t="str">
        <x:v>Planentrix — Web User Test Cases</x:v>
      </x:c>
      <x:c r="O1" s="10" t="str">
        <x:v>Planentrix — Web User Test Cases</x:v>
      </x:c>
      <x:c r="P1" s="10" t="str">
        <x:v>Planentrix — Web User Test Cases</x:v>
      </x:c>
      <x:c r="Q1" s="10" t="str">
        <x:v>Planentrix — Web User Test Cases</x:v>
      </x:c>
      <x:c r="R1" s="10" t="str">
        <x:v>Planentrix — Web User Test Cases</x:v>
      </x:c>
      <x:c r="S1" s="11" t="str">
        <x:v>Planentrix — Web User Test Cases</x:v>
      </x:c>
    </x:row>
    <x:row r="2" ht="24" customHeight="1">
      <x:c r="A2" s="15" t="str">
        <x:v>Test Cases เฉพาะเว็บส่วนผู้ใช้ จำนวน 93 รายการ | กรอกผลในคอลัมน์ Actual Result, Status, Severity และ Defect ID</x:v>
      </x:c>
      <x:c r="B2" s="15" t="str">
        <x:v>Test Cases เฉพาะเว็บส่วนผู้ใช้ จำนวน 93 รายการ | กรอกผลในคอลัมน์ Actual Result, Status, Severity และ Defect ID</x:v>
      </x:c>
      <x:c r="C2" s="15" t="str">
        <x:v>Test Cases เฉพาะเว็บส่วนผู้ใช้ จำนวน 93 รายการ | กรอกผลในคอลัมน์ Actual Result, Status, Severity และ Defect ID</x:v>
      </x:c>
      <x:c r="D2" s="15" t="str">
        <x:v>Test Cases เฉพาะเว็บส่วนผู้ใช้ จำนวน 93 รายการ | กรอกผลในคอลัมน์ Actual Result, Status, Severity และ Defect ID</x:v>
      </x:c>
      <x:c r="E2" s="15" t="str">
        <x:v>Test Cases เฉพาะเว็บส่วนผู้ใช้ จำนวน 93 รายการ | กรอกผลในคอลัมน์ Actual Result, Status, Severity และ Defect ID</x:v>
      </x:c>
      <x:c r="F2" s="15" t="str">
        <x:v>Test Cases เฉพาะเว็บส่วนผู้ใช้ จำนวน 93 รายการ | กรอกผลในคอลัมน์ Actual Result, Status, Severity และ Defect ID</x:v>
      </x:c>
      <x:c r="G2" s="15" t="str">
        <x:v>Test Cases เฉพาะเว็บส่วนผู้ใช้ จำนวน 93 รายการ | กรอกผลในคอลัมน์ Actual Result, Status, Severity และ Defect ID</x:v>
      </x:c>
      <x:c r="H2" s="15" t="str">
        <x:v>Test Cases เฉพาะเว็บส่วนผู้ใช้ จำนวน 93 รายการ | กรอกผลในคอลัมน์ Actual Result, Status, Severity และ Defect ID</x:v>
      </x:c>
      <x:c r="I2" s="15" t="str">
        <x:v>Test Cases เฉพาะเว็บส่วนผู้ใช้ จำนวน 93 รายการ | กรอกผลในคอลัมน์ Actual Result, Status, Severity และ Defect ID</x:v>
      </x:c>
      <x:c r="J2" s="15" t="str">
        <x:v>Test Cases เฉพาะเว็บส่วนผู้ใช้ จำนวน 93 รายการ | กรอกผลในคอลัมน์ Actual Result, Status, Severity และ Defect ID</x:v>
      </x:c>
      <x:c r="K2" s="15" t="str">
        <x:v>Test Cases เฉพาะเว็บส่วนผู้ใช้ จำนวน 93 รายการ | กรอกผลในคอลัมน์ Actual Result, Status, Severity และ Defect ID</x:v>
      </x:c>
      <x:c r="L2" s="15" t="str">
        <x:v>Test Cases เฉพาะเว็บส่วนผู้ใช้ จำนวน 93 รายการ | กรอกผลในคอลัมน์ Actual Result, Status, Severity และ Defect ID</x:v>
      </x:c>
      <x:c r="M2" s="15" t="str">
        <x:v>Test Cases เฉพาะเว็บส่วนผู้ใช้ จำนวน 93 รายการ | กรอกผลในคอลัมน์ Actual Result, Status, Severity และ Defect ID</x:v>
      </x:c>
      <x:c r="N2" s="15" t="str">
        <x:v>Test Cases เฉพาะเว็บส่วนผู้ใช้ จำนวน 93 รายการ | กรอกผลในคอลัมน์ Actual Result, Status, Severity และ Defect ID</x:v>
      </x:c>
      <x:c r="O2" s="15" t="str">
        <x:v>Test Cases เฉพาะเว็บส่วนผู้ใช้ จำนวน 93 รายการ | กรอกผลในคอลัมน์ Actual Result, Status, Severity และ Defect ID</x:v>
      </x:c>
      <x:c r="P2" s="15" t="str">
        <x:v>Test Cases เฉพาะเว็บส่วนผู้ใช้ จำนวน 93 รายการ | กรอกผลในคอลัมน์ Actual Result, Status, Severity และ Defect ID</x:v>
      </x:c>
      <x:c r="Q2" s="15" t="str">
        <x:v>Test Cases เฉพาะเว็บส่วนผู้ใช้ จำนวน 93 รายการ | กรอกผลในคอลัมน์ Actual Result, Status, Severity และ Defect ID</x:v>
      </x:c>
      <x:c r="R2" s="15" t="str">
        <x:v>Test Cases เฉพาะเว็บส่วนผู้ใช้ จำนวน 93 รายการ | กรอกผลในคอลัมน์ Actual Result, Status, Severity และ Defect ID</x:v>
      </x:c>
      <x:c r="S2" s="15" t="str">
        <x:v>Test Cases เฉพาะเว็บส่วนผู้ใช้ จำนวน 93 รายการ | กรอกผลในคอลัมน์ Actual Result, Status, Severity และ Defect ID</x:v>
      </x:c>
    </x:row>
    <x:row r="3">
      <x:c r="A3" s="111" t="str">
        <x:v>ทั้งหมด</x:v>
      </x:c>
      <x:c r="B3" s="111" t="n">
        <x:v>93</x:v>
      </x:c>
      <x:c r="C3" s="111" t="str">
        <x:v>ผ่าน</x:v>
      </x:c>
      <x:c r="D3" s="111" t="n">
        <x:f>COUNTIF(N7:N99,"Pass")</x:f>
        <x:v>0</x:v>
      </x:c>
      <x:c r="E3" s="111" t="str">
        <x:v>ไม่ผ่าน</x:v>
      </x:c>
      <x:c r="F3" s="111" t="n">
        <x:f>COUNTIF(N7:N99,"Fail")</x:f>
        <x:v>0</x:v>
      </x:c>
      <x:c r="G3" s="111" t="str">
        <x:v>Blocked</x:v>
      </x:c>
      <x:c r="H3" s="111" t="n">
        <x:f>COUNTIF(N7:N99,"Blocked")</x:f>
        <x:v>0</x:v>
      </x:c>
      <x:c r="J3" s="125" t="str">
        <x:v>วิธีใช้: กรอกผลจริง → เลือก Status → ถ้า Fail ระบุ Severity/Defect ID → แนบหลักฐานใน Notes</x:v>
      </x:c>
      <x:c r="K3" s="126" t="str">
        <x:v>วิธีใช้: กรอกผลจริง → เลือก Status → ถ้า Fail ระบุ Severity/Defect ID → แนบหลักฐานใน Notes</x:v>
      </x:c>
      <x:c r="L3" s="126" t="str">
        <x:v>วิธีใช้: กรอกผลจริง → เลือก Status → ถ้า Fail ระบุ Severity/Defect ID → แนบหลักฐานใน Notes</x:v>
      </x:c>
      <x:c r="M3" s="126" t="str">
        <x:v>วิธีใช้: กรอกผลจริง → เลือก Status → ถ้า Fail ระบุ Severity/Defect ID → แนบหลักฐานใน Notes</x:v>
      </x:c>
      <x:c r="N3" s="126" t="str">
        <x:v>วิธีใช้: กรอกผลจริง → เลือก Status → ถ้า Fail ระบุ Severity/Defect ID → แนบหลักฐานใน Notes</x:v>
      </x:c>
      <x:c r="O3" s="126" t="str">
        <x:v>วิธีใช้: กรอกผลจริง → เลือก Status → ถ้า Fail ระบุ Severity/Defect ID → แนบหลักฐานใน Notes</x:v>
      </x:c>
      <x:c r="P3" s="126" t="str">
        <x:v>วิธีใช้: กรอกผลจริง → เลือก Status → ถ้า Fail ระบุ Severity/Defect ID → แนบหลักฐานใน Notes</x:v>
      </x:c>
      <x:c r="Q3" s="126" t="str">
        <x:v>วิธีใช้: กรอกผลจริง → เลือก Status → ถ้า Fail ระบุ Severity/Defect ID → แนบหลักฐานใน Notes</x:v>
      </x:c>
      <x:c r="R3" s="126" t="str">
        <x:v>วิธีใช้: กรอกผลจริง → เลือก Status → ถ้า Fail ระบุ Severity/Defect ID → แนบหลักฐานใน Notes</x:v>
      </x:c>
      <x:c r="S3" s="127" t="str">
        <x:v>วิธีใช้: กรอกผลจริง → เลือก Status → ถ้า Fail ระบุ Severity/Defect ID → แนบหลักฐานใน Notes</x:v>
      </x:c>
    </x:row>
    <x:row r="4">
      <x:c r="J4" s="128" t="str">
        <x:v>วิธีใช้: กรอกผลจริง → เลือก Status → ถ้า Fail ระบุ Severity/Defect ID → แนบหลักฐานใน Notes</x:v>
      </x:c>
      <x:c r="K4" s="129" t="str">
        <x:v>วิธีใช้: กรอกผลจริง → เลือก Status → ถ้า Fail ระบุ Severity/Defect ID → แนบหลักฐานใน Notes</x:v>
      </x:c>
      <x:c r="L4" s="129" t="str">
        <x:v>วิธีใช้: กรอกผลจริง → เลือก Status → ถ้า Fail ระบุ Severity/Defect ID → แนบหลักฐานใน Notes</x:v>
      </x:c>
      <x:c r="M4" s="129" t="str">
        <x:v>วิธีใช้: กรอกผลจริง → เลือก Status → ถ้า Fail ระบุ Severity/Defect ID → แนบหลักฐานใน Notes</x:v>
      </x:c>
      <x:c r="N4" s="129" t="str">
        <x:v>วิธีใช้: กรอกผลจริง → เลือก Status → ถ้า Fail ระบุ Severity/Defect ID → แนบหลักฐานใน Notes</x:v>
      </x:c>
      <x:c r="O4" s="129" t="str">
        <x:v>วิธีใช้: กรอกผลจริง → เลือก Status → ถ้า Fail ระบุ Severity/Defect ID → แนบหลักฐานใน Notes</x:v>
      </x:c>
      <x:c r="P4" s="129" t="str">
        <x:v>วิธีใช้: กรอกผลจริง → เลือก Status → ถ้า Fail ระบุ Severity/Defect ID → แนบหลักฐานใน Notes</x:v>
      </x:c>
      <x:c r="Q4" s="129" t="str">
        <x:v>วิธีใช้: กรอกผลจริง → เลือก Status → ถ้า Fail ระบุ Severity/Defect ID → แนบหลักฐานใน Notes</x:v>
      </x:c>
      <x:c r="R4" s="129" t="str">
        <x:v>วิธีใช้: กรอกผลจริง → เลือก Status → ถ้า Fail ระบุ Severity/Defect ID → แนบหลักฐานใน Notes</x:v>
      </x:c>
      <x:c r="S4" s="130" t="str">
        <x:v>วิธีใช้: กรอกผลจริง → เลือก Status → ถ้า Fail ระบุ Severity/Defect ID → แนบหลักฐานใน Notes</x:v>
      </x:c>
    </x:row>
    <x:row r="6" ht="36" customHeight="1">
      <x:c r="A6" s="41" t="str">
        <x:v>Test Case ID</x:v>
      </x:c>
      <x:c r="B6" s="41" t="str">
        <x:v>Requirement ID</x:v>
      </x:c>
      <x:c r="C6" s="41" t="str">
        <x:v>หน้า</x:v>
      </x:c>
      <x:c r="D6" s="41" t="str">
        <x:v>ฟังก์ชัน/โมดูล</x:v>
      </x:c>
      <x:c r="E6" s="41" t="str">
        <x:v>ประเภทการทดสอบ</x:v>
      </x:c>
      <x:c r="F6" s="41" t="str">
        <x:v>Priority</x:v>
      </x:c>
      <x:c r="G6" s="41" t="str">
        <x:v>เงื่อนไขก่อนทดสอบ</x:v>
      </x:c>
      <x:c r="H6" s="41" t="str">
        <x:v>ขั้นตอนทดสอบ</x:v>
      </x:c>
      <x:c r="I6" s="41" t="str">
        <x:v>ข้อมูลทดสอบ</x:v>
      </x:c>
      <x:c r="J6" s="41" t="str">
        <x:v>ผลลัพธ์ที่คาดหวัง</x:v>
      </x:c>
      <x:c r="K6" s="41" t="str">
        <x:v>API / จุดเชื่อมต่อ</x:v>
      </x:c>
      <x:c r="L6" s="41" t="str">
        <x:v>สภาพแวดล้อม</x:v>
      </x:c>
      <x:c r="M6" s="41" t="str">
        <x:v>ผลที่เกิดขึ้นจริง</x:v>
      </x:c>
      <x:c r="N6" s="41" t="str">
        <x:v>สถานะ</x:v>
      </x:c>
      <x:c r="O6" s="41" t="str">
        <x:v>Severity (เมื่อ Fail)</x:v>
      </x:c>
      <x:c r="P6" s="41" t="str">
        <x:v>Defect ID</x:v>
      </x:c>
      <x:c r="Q6" s="41" t="str">
        <x:v>ผู้ทดสอบ</x:v>
      </x:c>
      <x:c r="R6" s="41" t="str">
        <x:v>วันที่ทดสอบ</x:v>
      </x:c>
      <x:c r="S6" s="41" t="str">
        <x:v>หมายเหตุ</x:v>
      </x:c>
    </x:row>
    <x:row r="7" ht="58" customHeight="1">
      <x:c r="A7" s="141" t="str">
        <x:v>WU-001</x:v>
      </x:c>
      <x:c r="B7" s="141" t="str">
        <x:v>REQ-WU-LOGIN</x:v>
      </x:c>
      <x:c r="C7" s="141" t="str">
        <x:v>LogIn</x:v>
      </x:c>
      <x:c r="D7" s="141" t="str">
        <x:v>เปิดหน้าและการจัดวาง</x:v>
      </x:c>
      <x:c r="E7" s="141" t="str">
        <x:v>UI/UX</x:v>
      </x:c>
      <x:c r="F7" s="141" t="str">
        <x:v>P1-High</x:v>
      </x:c>
      <x:c r="G7" s="138" t="str">
        <x:v>เปิดเว็บโดยยังไม่ล็อกอิน</x:v>
      </x:c>
      <x:c r="H7" s="138" t="str">
        <x:v>1) เปิด /LogIn
2) ตรวจโลโก้ ช่อง Username/Password ปุ่ม Log in และ Sign up
3) ย่อ-ขยายหน้าจอ</x:v>
      </x:c>
      <x:c r="I7" s="138" t="str">
        <x:v>Desktop 1440x900, Laptop 1366x768, Tablet 768x1024</x:v>
      </x:c>
      <x:c r="J7" s="138" t="str">
        <x:v>องค์ประกอบครบ ไม่ล้น ไม่ซ้อนทับ และอ่านได้ทุก viewport</x:v>
      </x:c>
      <x:c r="K7" s="138" t="str">
        <x:v>-</x:v>
      </x:c>
      <x:c r="L7" s="138" t="str">
        <x:v>ทุกขนาดที่รองรับ</x:v>
      </x:c>
      <x:c r="M7" s="144"/>
      <x:c r="N7" s="144" t="str">
        <x:v>Not Run</x:v>
      </x:c>
      <x:c r="O7" s="144"/>
      <x:c r="P7" s="144"/>
      <x:c r="Q7" s="144"/>
      <x:c r="R7" s="147"/>
      <x:c r="S7" s="144"/>
    </x:row>
    <x:row r="8" ht="58" customHeight="1">
      <x:c r="A8" s="142" t="str">
        <x:v>WU-002</x:v>
      </x:c>
      <x:c r="B8" s="142" t="str">
        <x:v>REQ-WU-LOGIN</x:v>
      </x:c>
      <x:c r="C8" s="142" t="str">
        <x:v>LogIn</x:v>
      </x:c>
      <x:c r="D8" s="142" t="str">
        <x:v>Required validation</x:v>
      </x:c>
      <x:c r="E8" s="142" t="str">
        <x:v>Validation</x:v>
      </x:c>
      <x:c r="F8" s="142" t="str">
        <x:v>P0-Critical</x:v>
      </x:c>
      <x:c r="G8" s="139" t="str">
        <x:v>อยู่หน้า LogIn</x:v>
      </x:c>
      <x:c r="H8" s="139" t="str">
        <x:v>1) เว้น Username และ Password
2) กด Log in</x:v>
      </x:c>
      <x:c r="I8" s="139" t="str">
        <x:v>ค่าว่าง</x:v>
      </x:c>
      <x:c r="J8" s="139" t="str">
        <x:v>แสดงข้อความใต้ช่องที่ผิดและไม่เรียก API login</x:v>
      </x:c>
      <x:c r="K8" s="139" t="str">
        <x:v>POST /auth/login</x:v>
      </x:c>
      <x:c r="L8" s="139" t="str">
        <x:v>ทุกขนาดที่รองรับ</x:v>
      </x:c>
      <x:c r="M8" s="145"/>
      <x:c r="N8" s="145" t="str">
        <x:v>Not Run</x:v>
      </x:c>
      <x:c r="O8" s="145"/>
      <x:c r="P8" s="145"/>
      <x:c r="Q8" s="145"/>
      <x:c r="R8" s="148"/>
      <x:c r="S8" s="145"/>
    </x:row>
    <x:row r="9" ht="58" customHeight="1">
      <x:c r="A9" s="142" t="str">
        <x:v>WU-003</x:v>
      </x:c>
      <x:c r="B9" s="142" t="str">
        <x:v>REQ-WU-LOGIN</x:v>
      </x:c>
      <x:c r="C9" s="142" t="str">
        <x:v>LogIn</x:v>
      </x:c>
      <x:c r="D9" s="142" t="str">
        <x:v>ความยาวข้อมูล</x:v>
      </x:c>
      <x:c r="E9" s="142" t="str">
        <x:v>Validation</x:v>
      </x:c>
      <x:c r="F9" s="142" t="str">
        <x:v>P1-High</x:v>
      </x:c>
      <x:c r="G9" s="139" t="str">
        <x:v>อยู่หน้า LogIn</x:v>
      </x:c>
      <x:c r="H9" s="139" t="str">
        <x:v>กรอก Username/Password สั้นกว่าขั้นต่ำแล้วส่ง</x:v>
      </x:c>
      <x:c r="I9" s="139" t="str">
        <x:v>username=a, password=1</x:v>
      </x:c>
      <x:c r="J9" s="139" t="str">
        <x:v>แสดงข้อความตรงตามกติกาเว็บและไม่ส่งข้อมูลผิดรูปแบบ</x:v>
      </x:c>
      <x:c r="K9" s="139" t="str">
        <x:v>-</x:v>
      </x:c>
      <x:c r="L9" s="139" t="str">
        <x:v>ทุกขนาดที่รองรับ</x:v>
      </x:c>
      <x:c r="M9" s="145"/>
      <x:c r="N9" s="145" t="str">
        <x:v>Not Run</x:v>
      </x:c>
      <x:c r="O9" s="145"/>
      <x:c r="P9" s="145"/>
      <x:c r="Q9" s="145"/>
      <x:c r="R9" s="148"/>
      <x:c r="S9" s="145"/>
    </x:row>
    <x:row r="10" ht="58" customHeight="1">
      <x:c r="A10" s="142" t="str">
        <x:v>WU-004</x:v>
      </x:c>
      <x:c r="B10" s="142" t="str">
        <x:v>REQ-WU-LOGIN</x:v>
      </x:c>
      <x:c r="C10" s="142" t="str">
        <x:v>LogIn</x:v>
      </x:c>
      <x:c r="D10" s="142" t="str">
        <x:v>แสดง/ซ่อนรหัสผ่าน</x:v>
      </x:c>
      <x:c r="E10" s="142" t="str">
        <x:v>Functional</x:v>
      </x:c>
      <x:c r="F10" s="142" t="str">
        <x:v>P2-Medium</x:v>
      </x:c>
      <x:c r="G10" s="139" t="str">
        <x:v>กรอกรหัสผ่านแล้ว</x:v>
      </x:c>
      <x:c r="H10" s="139" t="str">
        <x:v>กดไอคอนรูปตา 2 ครั้ง</x:v>
      </x:c>
      <x:c r="I10" s="139" t="str">
        <x:v>Qa@123456</x:v>
      </x:c>
      <x:c r="J10" s="139" t="str">
        <x:v>ครั้งแรกเห็นข้อความรหัสผ่าน ครั้งที่สองกลับเป็นจุด โดยค่าไม่หาย</x:v>
      </x:c>
      <x:c r="K10" s="139" t="str">
        <x:v>-</x:v>
      </x:c>
      <x:c r="L10" s="139" t="str">
        <x:v>ทุกขนาดที่รองรับ</x:v>
      </x:c>
      <x:c r="M10" s="145"/>
      <x:c r="N10" s="145" t="str">
        <x:v>Not Run</x:v>
      </x:c>
      <x:c r="O10" s="145"/>
      <x:c r="P10" s="145"/>
      <x:c r="Q10" s="145"/>
      <x:c r="R10" s="148"/>
      <x:c r="S10" s="145"/>
    </x:row>
    <x:row r="11" ht="58" customHeight="1">
      <x:c r="A11" s="142" t="str">
        <x:v>WU-005</x:v>
      </x:c>
      <x:c r="B11" s="142" t="str">
        <x:v>REQ-WU-LOGIN</x:v>
      </x:c>
      <x:c r="C11" s="142" t="str">
        <x:v>LogIn</x:v>
      </x:c>
      <x:c r="D11" s="142" t="str">
        <x:v>ล็อกอินสำเร็จและจำสถานะ</x:v>
      </x:c>
      <x:c r="E11" s="142" t="str">
        <x:v>End-to-End</x:v>
      </x:c>
      <x:c r="F11" s="142" t="str">
        <x:v>P0-Critical</x:v>
      </x:c>
      <x:c r="G11" s="139" t="str">
        <x:v>มีบัญชีผู้ใช้ที่ใช้งานได้</x:v>
      </x:c>
      <x:c r="H11" s="139" t="str">
        <x:v>1) กรอกข้อมูลถูกต้อง
2) กด Log in
3) Refresh หน้า
4) ปิดและเปิดแท็บใหม่</x:v>
      </x:c>
      <x:c r="I11" s="139" t="str">
        <x:v>USER_VALID</x:v>
      </x:c>
      <x:c r="J11" s="139" t="str">
        <x:v>เข้าสู่ Main และยังคงสถานะล็อกอินตามอายุ session/token</x:v>
      </x:c>
      <x:c r="K11" s="139" t="str">
        <x:v>POST /auth/login; refresh/session storage</x:v>
      </x:c>
      <x:c r="L11" s="139" t="str">
        <x:v>ทุกขนาดที่รองรับ</x:v>
      </x:c>
      <x:c r="M11" s="145"/>
      <x:c r="N11" s="145" t="str">
        <x:v>Not Run</x:v>
      </x:c>
      <x:c r="O11" s="145"/>
      <x:c r="P11" s="145"/>
      <x:c r="Q11" s="145"/>
      <x:c r="R11" s="148"/>
      <x:c r="S11" s="145"/>
    </x:row>
    <x:row r="12" ht="58" customHeight="1">
      <x:c r="A12" s="142" t="str">
        <x:v>WU-006</x:v>
      </x:c>
      <x:c r="B12" s="142" t="str">
        <x:v>REQ-WU-LOGIN</x:v>
      </x:c>
      <x:c r="C12" s="142" t="str">
        <x:v>LogIn</x:v>
      </x:c>
      <x:c r="D12" s="142" t="str">
        <x:v>ข้อมูลเข้าสู่ระบบไม่ถูกต้อง</x:v>
      </x:c>
      <x:c r="E12" s="142" t="str">
        <x:v>Negative</x:v>
      </x:c>
      <x:c r="F12" s="142" t="str">
        <x:v>P0-Critical</x:v>
      </x:c>
      <x:c r="G12" s="139" t="str">
        <x:v>มีบัญชีผู้ใช้</x:v>
      </x:c>
      <x:c r="H12" s="139" t="str">
        <x:v>กรอกรหัสผ่านผิดแล้วกด Log in</x:v>
      </x:c>
      <x:c r="I12" s="139" t="str">
        <x:v>USER_INVALID_PASSWORD</x:v>
      </x:c>
      <x:c r="J12" s="139" t="str">
        <x:v>แสดงข้อความจาก Backend อย่างเป็นมิตร ไม่เปิดเผยรายละเอียดระบบ และยังอยู่หน้าเดิม</x:v>
      </x:c>
      <x:c r="K12" s="139" t="str">
        <x:v>POST /auth/login</x:v>
      </x:c>
      <x:c r="L12" s="139" t="str">
        <x:v>ทุกขนาดที่รองรับ</x:v>
      </x:c>
      <x:c r="M12" s="145"/>
      <x:c r="N12" s="145" t="str">
        <x:v>Not Run</x:v>
      </x:c>
      <x:c r="O12" s="145"/>
      <x:c r="P12" s="145"/>
      <x:c r="Q12" s="145"/>
      <x:c r="R12" s="148"/>
      <x:c r="S12" s="145"/>
    </x:row>
    <x:row r="13" ht="58" customHeight="1">
      <x:c r="A13" s="142" t="str">
        <x:v>WU-007</x:v>
      </x:c>
      <x:c r="B13" s="142" t="str">
        <x:v>REQ-WU-LOGIN</x:v>
      </x:c>
      <x:c r="C13" s="142" t="str">
        <x:v>LogIn</x:v>
      </x:c>
      <x:c r="D13" s="142" t="str">
        <x:v>Token หมดอายุ</x:v>
      </x:c>
      <x:c r="E13" s="142" t="str">
        <x:v>Security</x:v>
      </x:c>
      <x:c r="F13" s="142" t="str">
        <x:v>P0-Critical</x:v>
      </x:c>
      <x:c r="G13" s="139" t="str">
        <x:v>มี token หมดอายุ/refresh token ใช้ไม่ได้</x:v>
      </x:c>
      <x:c r="H13" s="139" t="str">
        <x:v>เข้าหน้า protected หรือเรียก API</x:v>
      </x:c>
      <x:c r="I13" s="139" t="str">
        <x:v>Expired token</x:v>
      </x:c>
      <x:c r="J13" s="139" t="str">
        <x:v>ระบบลอง refresh ตามกติกา หากไม่สำเร็จล้าง session และกลับ LogIn โดยไม่วนซ้ำ</x:v>
      </x:c>
      <x:c r="K13" s="139" t="str">
        <x:v>API client / refresh token</x:v>
      </x:c>
      <x:c r="L13" s="139" t="str">
        <x:v>ทุกขนาดที่รองรับ</x:v>
      </x:c>
      <x:c r="M13" s="145"/>
      <x:c r="N13" s="145" t="str">
        <x:v>Not Run</x:v>
      </x:c>
      <x:c r="O13" s="145"/>
      <x:c r="P13" s="145"/>
      <x:c r="Q13" s="145"/>
      <x:c r="R13" s="148"/>
      <x:c r="S13" s="145"/>
    </x:row>
    <x:row r="14" ht="58" customHeight="1">
      <x:c r="A14" s="142" t="str">
        <x:v>WU-008</x:v>
      </x:c>
      <x:c r="B14" s="142" t="str">
        <x:v>REQ-WU-LOGIN</x:v>
      </x:c>
      <x:c r="C14" s="142" t="str">
        <x:v>LogIn</x:v>
      </x:c>
      <x:c r="D14" s="142" t="str">
        <x:v>ไปหน้าสมัครสมาชิก</x:v>
      </x:c>
      <x:c r="E14" s="142" t="str">
        <x:v>Navigation</x:v>
      </x:c>
      <x:c r="F14" s="142" t="str">
        <x:v>P1-High</x:v>
      </x:c>
      <x:c r="G14" s="139" t="str">
        <x:v>อยู่หน้า LogIn</x:v>
      </x:c>
      <x:c r="H14" s="139" t="str">
        <x:v>กด Sign up</x:v>
      </x:c>
      <x:c r="I14" s="139" t="str">
        <x:v>-</x:v>
      </x:c>
      <x:c r="J14" s="139" t="str">
        <x:v>เปิดหน้า /SingIn และไม่มี animation กระโดดผิดปกติ</x:v>
      </x:c>
      <x:c r="K14" s="139" t="str">
        <x:v>-</x:v>
      </x:c>
      <x:c r="L14" s="139" t="str">
        <x:v>ทุกขนาดที่รองรับ</x:v>
      </x:c>
      <x:c r="M14" s="145"/>
      <x:c r="N14" s="145" t="str">
        <x:v>Not Run</x:v>
      </x:c>
      <x:c r="O14" s="145"/>
      <x:c r="P14" s="145"/>
      <x:c r="Q14" s="145"/>
      <x:c r="R14" s="148"/>
      <x:c r="S14" s="145"/>
    </x:row>
    <x:row r="15" ht="58" customHeight="1">
      <x:c r="A15" s="142" t="str">
        <x:v>WU-009</x:v>
      </x:c>
      <x:c r="B15" s="142" t="str">
        <x:v>REQ-WU-LOGIN</x:v>
      </x:c>
      <x:c r="C15" s="142" t="str">
        <x:v>LogIn</x:v>
      </x:c>
      <x:c r="D15" s="142" t="str">
        <x:v>Keyboard และ Enter</x:v>
      </x:c>
      <x:c r="E15" s="142" t="str">
        <x:v>Accessibility</x:v>
      </x:c>
      <x:c r="F15" s="142" t="str">
        <x:v>P2-Medium</x:v>
      </x:c>
      <x:c r="G15" s="139" t="str">
        <x:v>อยู่หน้า LogIn</x:v>
      </x:c>
      <x:c r="H15" s="139" t="str">
        <x:v>ใช้ Tab ไล่ focus และกด Enter ที่ฟอร์ม</x:v>
      </x:c>
      <x:c r="I15" s="139" t="str">
        <x:v>USER_VALID</x:v>
      </x:c>
      <x:c r="J15" s="139" t="str">
        <x:v>ลำดับ focus ถูกต้อง เห็น focus state และ Enter ส่งฟอร์มได้</x:v>
      </x:c>
      <x:c r="K15" s="139" t="str">
        <x:v>-</x:v>
      </x:c>
      <x:c r="L15" s="139" t="str">
        <x:v>ทุกขนาดที่รองรับ</x:v>
      </x:c>
      <x:c r="M15" s="145"/>
      <x:c r="N15" s="145" t="str">
        <x:v>Not Run</x:v>
      </x:c>
      <x:c r="O15" s="145"/>
      <x:c r="P15" s="145"/>
      <x:c r="Q15" s="145"/>
      <x:c r="R15" s="148"/>
      <x:c r="S15" s="145"/>
    </x:row>
    <x:row r="16" ht="58" customHeight="1">
      <x:c r="A16" s="142" t="str">
        <x:v>WU-010</x:v>
      </x:c>
      <x:c r="B16" s="142" t="str">
        <x:v>REQ-WU-LOGIN</x:v>
      </x:c>
      <x:c r="C16" s="142" t="str">
        <x:v>LogIn</x:v>
      </x:c>
      <x:c r="D16" s="142" t="str">
        <x:v>ป้องกันย้อนกลับหลัง Logout</x:v>
      </x:c>
      <x:c r="E16" s="142" t="str">
        <x:v>Security</x:v>
      </x:c>
      <x:c r="F16" s="142" t="str">
        <x:v>P0-Critical</x:v>
      </x:c>
      <x:c r="G16" s="139" t="str">
        <x:v>ล็อกอินแล้วกด Logout</x:v>
      </x:c>
      <x:c r="H16" s="139" t="str">
        <x:v>กด Back ของ Browser</x:v>
      </x:c>
      <x:c r="I16" s="139" t="str">
        <x:v>-</x:v>
      </x:c>
      <x:c r="J16" s="139" t="str">
        <x:v>ไม่เห็นข้อมูล protected จาก cache และถูกนำกลับ LogIn</x:v>
      </x:c>
      <x:c r="K16" s="139" t="str">
        <x:v>POST /auth/logout</x:v>
      </x:c>
      <x:c r="L16" s="139" t="str">
        <x:v>ทุกขนาดที่รองรับ</x:v>
      </x:c>
      <x:c r="M16" s="145"/>
      <x:c r="N16" s="145" t="str">
        <x:v>Not Run</x:v>
      </x:c>
      <x:c r="O16" s="145"/>
      <x:c r="P16" s="145"/>
      <x:c r="Q16" s="145"/>
      <x:c r="R16" s="148"/>
      <x:c r="S16" s="145"/>
    </x:row>
    <x:row r="17" ht="58" customHeight="1">
      <x:c r="A17" s="142" t="str">
        <x:v>WU-011</x:v>
      </x:c>
      <x:c r="B17" s="142" t="str">
        <x:v>REQ-WU-SIGNIN</x:v>
      </x:c>
      <x:c r="C17" s="142" t="str">
        <x:v>SignIn</x:v>
      </x:c>
      <x:c r="D17" s="142" t="str">
        <x:v>เปิดฟอร์มสมัครสมาชิก</x:v>
      </x:c>
      <x:c r="E17" s="142" t="str">
        <x:v>UI/UX</x:v>
      </x:c>
      <x:c r="F17" s="142" t="str">
        <x:v>P1-High</x:v>
      </x:c>
      <x:c r="G17" s="139" t="str">
        <x:v>ยังไม่มี session</x:v>
      </x:c>
      <x:c r="H17" s="139" t="str">
        <x:v>เปิด /SingIn และเลื่อนทั้งหน้า</x:v>
      </x:c>
      <x:c r="I17" s="139" t="str">
        <x:v>Desktop/Tablet</x:v>
      </x:c>
      <x:c r="J17" s="139" t="str">
        <x:v>ฟอร์ม Account และ Constraint ครบ ดรอปดาวน์ติดกับช่อง ไม่ลอยเมื่อ scroll</x:v>
      </x:c>
      <x:c r="K17" s="139" t="str">
        <x:v>-</x:v>
      </x:c>
      <x:c r="L17" s="139" t="str">
        <x:v>ทุกขนาดที่รองรับ</x:v>
      </x:c>
      <x:c r="M17" s="145"/>
      <x:c r="N17" s="145" t="str">
        <x:v>Not Run</x:v>
      </x:c>
      <x:c r="O17" s="145"/>
      <x:c r="P17" s="145"/>
      <x:c r="Q17" s="145"/>
      <x:c r="R17" s="148"/>
      <x:c r="S17" s="145"/>
    </x:row>
    <x:row r="18" ht="58" customHeight="1">
      <x:c r="A18" s="142" t="str">
        <x:v>WU-012</x:v>
      </x:c>
      <x:c r="B18" s="142" t="str">
        <x:v>REQ-WU-SIGNIN</x:v>
      </x:c>
      <x:c r="C18" s="142" t="str">
        <x:v>SignIn</x:v>
      </x:c>
      <x:c r="D18" s="142" t="str">
        <x:v>ข้อมูลจำเป็นและรูปแบบ</x:v>
      </x:c>
      <x:c r="E18" s="142" t="str">
        <x:v>Validation</x:v>
      </x:c>
      <x:c r="F18" s="142" t="str">
        <x:v>P0-Critical</x:v>
      </x:c>
      <x:c r="G18" s="139" t="str">
        <x:v>อยู่หน้า SignIn</x:v>
      </x:c>
      <x:c r="H18" s="139" t="str">
        <x:v>เว้นข้อมูลจำเป็นหรือกรอกไม่ตรงรูปแบบแล้วส่ง</x:v>
      </x:c>
      <x:c r="I18" s="139" t="str">
        <x:v>Username ว่าง, วันเกิดว่าง, Password ว่าง</x:v>
      </x:c>
      <x:c r="J18" s="139" t="str">
        <x:v>ระบุทุกช่องที่ผิดและไม่เรียก register API</x:v>
      </x:c>
      <x:c r="K18" s="139" t="str">
        <x:v>POST /auth/register</x:v>
      </x:c>
      <x:c r="L18" s="139" t="str">
        <x:v>ทุกขนาดที่รองรับ</x:v>
      </x:c>
      <x:c r="M18" s="145"/>
      <x:c r="N18" s="145" t="str">
        <x:v>Not Run</x:v>
      </x:c>
      <x:c r="O18" s="145"/>
      <x:c r="P18" s="145"/>
      <x:c r="Q18" s="145"/>
      <x:c r="R18" s="148"/>
      <x:c r="S18" s="145"/>
    </x:row>
    <x:row r="19" ht="58" customHeight="1">
      <x:c r="A19" s="142" t="str">
        <x:v>WU-013</x:v>
      </x:c>
      <x:c r="B19" s="142" t="str">
        <x:v>REQ-WU-SIGNIN</x:v>
      </x:c>
      <x:c r="C19" s="142" t="str">
        <x:v>SignIn</x:v>
      </x:c>
      <x:c r="D19" s="142" t="str">
        <x:v>ยืนยันรหัสผ่าน</x:v>
      </x:c>
      <x:c r="E19" s="142" t="str">
        <x:v>Validation</x:v>
      </x:c>
      <x:c r="F19" s="142" t="str">
        <x:v>P0-Critical</x:v>
      </x:c>
      <x:c r="G19" s="139" t="str">
        <x:v>กรอกข้อมูลบัญชีส่วนอื่นครบ</x:v>
      </x:c>
      <x:c r="H19" s="139" t="str">
        <x:v>กรอก Password กับ Confirm password ไม่ตรงกัน</x:v>
      </x:c>
      <x:c r="I19" s="139" t="str">
        <x:v>Qa@123456 / Qa@654321</x:v>
      </x:c>
      <x:c r="J19" s="139" t="str">
        <x:v>แจ้งเตือนภาษาไทยและไม่สมัครสมาชิก</x:v>
      </x:c>
      <x:c r="K19" s="139" t="str">
        <x:v>-</x:v>
      </x:c>
      <x:c r="L19" s="139" t="str">
        <x:v>ทุกขนาดที่รองรับ</x:v>
      </x:c>
      <x:c r="M19" s="145"/>
      <x:c r="N19" s="145" t="str">
        <x:v>Not Run</x:v>
      </x:c>
      <x:c r="O19" s="145"/>
      <x:c r="P19" s="145"/>
      <x:c r="Q19" s="145"/>
      <x:c r="R19" s="148"/>
      <x:c r="S19" s="145"/>
    </x:row>
    <x:row r="20" ht="58" customHeight="1">
      <x:c r="A20" s="142" t="str">
        <x:v>WU-014</x:v>
      </x:c>
      <x:c r="B20" s="142" t="str">
        <x:v>REQ-WU-SIGNIN</x:v>
      </x:c>
      <x:c r="C20" s="142" t="str">
        <x:v>SignIn</x:v>
      </x:c>
      <x:c r="D20" s="142" t="str">
        <x:v>Username ซ้ำ</x:v>
      </x:c>
      <x:c r="E20" s="142" t="str">
        <x:v>Integration</x:v>
      </x:c>
      <x:c r="F20" s="142" t="str">
        <x:v>P0-Critical</x:v>
      </x:c>
      <x:c r="G20" s="139" t="str">
        <x:v>มี username อยู่แล้ว</x:v>
      </x:c>
      <x:c r="H20" s="139" t="str">
        <x:v>กรอกข้อมูลครบโดยใช้ username ซ้ำแล้วส่ง</x:v>
      </x:c>
      <x:c r="I20" s="139" t="str">
        <x:v>USER_DUPLICATE</x:v>
      </x:c>
      <x:c r="J20" s="139" t="str">
        <x:v>แสดงข้อความซ้ำจาก Backend เป็นภาษาไทยและคงค่าฟอร์ม</x:v>
      </x:c>
      <x:c r="K20" s="139" t="str">
        <x:v>POST /auth/register</x:v>
      </x:c>
      <x:c r="L20" s="139" t="str">
        <x:v>ทุกขนาดที่รองรับ</x:v>
      </x:c>
      <x:c r="M20" s="145"/>
      <x:c r="N20" s="145" t="str">
        <x:v>Not Run</x:v>
      </x:c>
      <x:c r="O20" s="145"/>
      <x:c r="P20" s="145"/>
      <x:c r="Q20" s="145"/>
      <x:c r="R20" s="148"/>
      <x:c r="S20" s="145"/>
    </x:row>
    <x:row r="21" ht="58" customHeight="1">
      <x:c r="A21" s="142" t="str">
        <x:v>WU-015</x:v>
      </x:c>
      <x:c r="B21" s="142" t="str">
        <x:v>REQ-WU-SIGNIN</x:v>
      </x:c>
      <x:c r="C21" s="142" t="str">
        <x:v>SignIn</x:v>
      </x:c>
      <x:c r="D21" s="142" t="str">
        <x:v>เลือกวันเกิด</x:v>
      </x:c>
      <x:c r="E21" s="142" t="str">
        <x:v>Functional</x:v>
      </x:c>
      <x:c r="F21" s="142" t="str">
        <x:v>P1-High</x:v>
      </x:c>
      <x:c r="G21" s="139" t="str">
        <x:v>อยู่ส่วน Profile</x:v>
      </x:c>
      <x:c r="H21" s="139" t="str">
        <x:v>เปิด Date picker เลือกวัน และลองเลือกวันอนาคต</x:v>
      </x:c>
      <x:c r="I21" s="139" t="str">
        <x:v>13/06/2006 และวันพรุ่งนี้</x:v>
      </x:c>
      <x:c r="J21" s="139" t="str">
        <x:v>บันทึกวันที่จริงในรูปแบบ Backend; ปฏิเสธวันที่อนาคต</x:v>
      </x:c>
      <x:c r="K21" s="139" t="str">
        <x:v>-</x:v>
      </x:c>
      <x:c r="L21" s="139" t="str">
        <x:v>ทุกขนาดที่รองรับ</x:v>
      </x:c>
      <x:c r="M21" s="145"/>
      <x:c r="N21" s="145" t="str">
        <x:v>Not Run</x:v>
      </x:c>
      <x:c r="O21" s="145"/>
      <x:c r="P21" s="145"/>
      <x:c r="Q21" s="145"/>
      <x:c r="R21" s="148"/>
      <x:c r="S21" s="145"/>
    </x:row>
    <x:row r="22" ht="58" customHeight="1">
      <x:c r="A22" s="142" t="str">
        <x:v>WU-016</x:v>
      </x:c>
      <x:c r="B22" s="142" t="str">
        <x:v>REQ-WU-SIGNIN</x:v>
      </x:c>
      <x:c r="C22" s="142" t="str">
        <x:v>SignIn</x:v>
      </x:c>
      <x:c r="D22" s="142" t="str">
        <x:v>ดรอปดาวน์เพศ</x:v>
      </x:c>
      <x:c r="E22" s="142" t="str">
        <x:v>UI/UX</x:v>
      </x:c>
      <x:c r="F22" s="142" t="str">
        <x:v>P1-High</x:v>
      </x:c>
      <x:c r="G22" s="139" t="str">
        <x:v>อยู่ส่วน Profile</x:v>
      </x:c>
      <x:c r="H22" s="139" t="str">
        <x:v>เปิด Gender dropdown ใช้ mouse hover และเลือก</x:v>
      </x:c>
      <x:c r="I22" s="139" t="str">
        <x:v>ชาย/หญิง/อื่น ๆ ตามรายการระบบ</x:v>
      </x:c>
      <x:c r="J22" s="139" t="str">
        <x:v>รายการไม่มีขอบโค้งเกินแบบ สี hover เข้มขึ้น และค่าที่เลือกแสดงถูกต้อง</x:v>
      </x:c>
      <x:c r="K22" s="139" t="str">
        <x:v>-</x:v>
      </x:c>
      <x:c r="L22" s="139" t="str">
        <x:v>ทุกขนาดที่รองรับ</x:v>
      </x:c>
      <x:c r="M22" s="145"/>
      <x:c r="N22" s="145" t="str">
        <x:v>Not Run</x:v>
      </x:c>
      <x:c r="O22" s="145"/>
      <x:c r="P22" s="145"/>
      <x:c r="Q22" s="145"/>
      <x:c r="R22" s="148"/>
      <x:c r="S22" s="145"/>
    </x:row>
    <x:row r="23" ht="58" customHeight="1">
      <x:c r="A23" s="142" t="str">
        <x:v>WU-017</x:v>
      </x:c>
      <x:c r="B23" s="142" t="str">
        <x:v>REQ-WU-SIGNIN</x:v>
      </x:c>
      <x:c r="C23" s="142" t="str">
        <x:v>SignIn</x:v>
      </x:c>
      <x:c r="D23" s="142" t="str">
        <x:v>เวลาเริ่ม-สิ้นสุดการทำงาน</x:v>
      </x:c>
      <x:c r="E23" s="142" t="str">
        <x:v>Validation</x:v>
      </x:c>
      <x:c r="F23" s="142" t="str">
        <x:v>P0-Critical</x:v>
      </x:c>
      <x:c r="G23" s="139" t="str">
        <x:v>อยู่ส่วน Constraint</x:v>
      </x:c>
      <x:c r="H23" s="139" t="str">
        <x:v>กำหนดเวลาเริ่มเท่ากับหรือช้ากว่าเวลาสิ้นสุด</x:v>
      </x:c>
      <x:c r="I23" s="139" t="str">
        <x:v>18:00 - 08:00</x:v>
      </x:c>
      <x:c r="J23" s="139" t="str">
        <x:v>แจ้งว่าเวลาเริ่มต้องก่อนเวลาสิ้นสุดและไม่ส่งข้อมูล</x:v>
      </x:c>
      <x:c r="K23" s="139" t="str">
        <x:v>POST /auth/register</x:v>
      </x:c>
      <x:c r="L23" s="139" t="str">
        <x:v>ทุกขนาดที่รองรับ</x:v>
      </x:c>
      <x:c r="M23" s="145"/>
      <x:c r="N23" s="145" t="str">
        <x:v>Not Run</x:v>
      </x:c>
      <x:c r="O23" s="145"/>
      <x:c r="P23" s="145"/>
      <x:c r="Q23" s="145"/>
      <x:c r="R23" s="148"/>
      <x:c r="S23" s="145"/>
    </x:row>
    <x:row r="24" ht="58" customHeight="1">
      <x:c r="A24" s="142" t="str">
        <x:v>WU-018</x:v>
      </x:c>
      <x:c r="B24" s="142" t="str">
        <x:v>REQ-WU-SIGNIN</x:v>
      </x:c>
      <x:c r="C24" s="142" t="str">
        <x:v>SignIn</x:v>
      </x:c>
      <x:c r="D24" s="142" t="str">
        <x:v>เวลาแบบ 24 ชั่วโมง</x:v>
      </x:c>
      <x:c r="E24" s="142" t="str">
        <x:v>Functional</x:v>
      </x:c>
      <x:c r="F24" s="142" t="str">
        <x:v>P1-High</x:v>
      </x:c>
      <x:c r="G24" s="139" t="str">
        <x:v>อยู่ส่วน Constraint</x:v>
      </x:c>
      <x:c r="H24" s="139" t="str">
        <x:v>เลือกเวลาเริ่ม/สิ้นสุดและตรวจ payload</x:v>
      </x:c>
      <x:c r="I24" s="139" t="str">
        <x:v>08:05, 23:30</x:v>
      </x:c>
      <x:c r="J24" s="139" t="str">
        <x:v>UI และ payload ใช้ HH:mm แบบ 24 ชั่วโมง ไม่มี AM/PM</x:v>
      </x:c>
      <x:c r="K24" s="139" t="str">
        <x:v>POST /auth/register</x:v>
      </x:c>
      <x:c r="L24" s="139" t="str">
        <x:v>ทุกขนาดที่รองรับ</x:v>
      </x:c>
      <x:c r="M24" s="145"/>
      <x:c r="N24" s="145" t="str">
        <x:v>Not Run</x:v>
      </x:c>
      <x:c r="O24" s="145"/>
      <x:c r="P24" s="145"/>
      <x:c r="Q24" s="145"/>
      <x:c r="R24" s="148"/>
      <x:c r="S24" s="145"/>
    </x:row>
    <x:row r="25" ht="58" customHeight="1">
      <x:c r="A25" s="142" t="str">
        <x:v>WU-019</x:v>
      </x:c>
      <x:c r="B25" s="142" t="str">
        <x:v>REQ-WU-SIGNIN</x:v>
      </x:c>
      <x:c r="C25" s="142" t="str">
        <x:v>SignIn</x:v>
      </x:c>
      <x:c r="D25" s="142" t="str">
        <x:v>เพิ่มวันเวลาไม่ว่างประจำ</x:v>
      </x:c>
      <x:c r="E25" s="142" t="str">
        <x:v>Functional</x:v>
      </x:c>
      <x:c r="F25" s="142" t="str">
        <x:v>P1-High</x:v>
      </x:c>
      <x:c r="G25" s="139" t="str">
        <x:v>เปิด Busy Day modal</x:v>
      </x:c>
      <x:c r="H25" s="139" t="str">
        <x:v>1) เลือกวัน
2) เลือกช่วงเวลา
3) เพิ่มรายการ 2 รายการ</x:v>
      </x:c>
      <x:c r="I25" s="139" t="str">
        <x:v>Mon 09:00-10:00; Fri 18:00-20:00</x:v>
      </x:c>
      <x:c r="J25" s="139" t="str">
        <x:v>รายการใหม่แสดงบนสุด สีวันถูกต้อง และข้อมูลไม่หายเมื่อปิด/เปิด modal</x:v>
      </x:c>
      <x:c r="K25" s="139" t="str">
        <x:v>-</x:v>
      </x:c>
      <x:c r="L25" s="139" t="str">
        <x:v>ทุกขนาดที่รองรับ</x:v>
      </x:c>
      <x:c r="M25" s="145"/>
      <x:c r="N25" s="145" t="str">
        <x:v>Not Run</x:v>
      </x:c>
      <x:c r="O25" s="145"/>
      <x:c r="P25" s="145"/>
      <x:c r="Q25" s="145"/>
      <x:c r="R25" s="148"/>
      <x:c r="S25" s="145"/>
    </x:row>
    <x:row r="26" ht="58" customHeight="1">
      <x:c r="A26" s="142" t="str">
        <x:v>WU-020</x:v>
      </x:c>
      <x:c r="B26" s="142" t="str">
        <x:v>REQ-WU-SIGNIN</x:v>
      </x:c>
      <x:c r="C26" s="142" t="str">
        <x:v>SignIn</x:v>
      </x:c>
      <x:c r="D26" s="142" t="str">
        <x:v>รายการวันหยุดครบ</x:v>
      </x:c>
      <x:c r="E26" s="142" t="str">
        <x:v>UI/UX</x:v>
      </x:c>
      <x:c r="F26" s="142" t="str">
        <x:v>P2-Medium</x:v>
      </x:c>
      <x:c r="G26" s="139" t="str">
        <x:v>เปิด Day dropdown</x:v>
      </x:c>
      <x:c r="H26" s="139" t="str">
        <x:v>ตรวจทุกตัวเลือกและ hover แต่ละวัน</x:v>
      </x:c>
      <x:c r="I26" s="139" t="str">
        <x:v>Monday-Sunday</x:v>
      </x:c>
      <x:c r="J26" s="139" t="str">
        <x:v>เห็นครบในรายการเดียวโดยไม่ต้อง scroll และ hover ชัดเจน</x:v>
      </x:c>
      <x:c r="K26" s="139" t="str">
        <x:v>-</x:v>
      </x:c>
      <x:c r="L26" s="139" t="str">
        <x:v>ทุกขนาดที่รองรับ</x:v>
      </x:c>
      <x:c r="M26" s="145"/>
      <x:c r="N26" s="145" t="str">
        <x:v>Not Run</x:v>
      </x:c>
      <x:c r="O26" s="145"/>
      <x:c r="P26" s="145"/>
      <x:c r="Q26" s="145"/>
      <x:c r="R26" s="148"/>
      <x:c r="S26" s="145"/>
    </x:row>
    <x:row r="27" ht="58" customHeight="1">
      <x:c r="A27" s="142" t="str">
        <x:v>WU-021</x:v>
      </x:c>
      <x:c r="B27" s="142" t="str">
        <x:v>REQ-WU-SIGNIN</x:v>
      </x:c>
      <x:c r="C27" s="142" t="str">
        <x:v>SignIn</x:v>
      </x:c>
      <x:c r="D27" s="142" t="str">
        <x:v>ตรวจช่วงเวลาว่าง</x:v>
      </x:c>
      <x:c r="E27" s="142" t="str">
        <x:v>Validation</x:v>
      </x:c>
      <x:c r="F27" s="142" t="str">
        <x:v>P0-Critical</x:v>
      </x:c>
      <x:c r="G27" s="139" t="str">
        <x:v>เปิด Busy Day modal</x:v>
      </x:c>
      <x:c r="H27" s="139" t="str">
        <x:v>เพิ่มช่วงเวลาที่ end &lt;= start หรือช่วงทับซ้อนวันเดียวกัน</x:v>
      </x:c>
      <x:c r="I27" s="139" t="str">
        <x:v>Mon 10:00-09:00; Mon 09:30-10:30</x:v>
      </x:c>
      <x:c r="J27" s="139" t="str">
        <x:v>แสดงข้อความเฉพาะจุด ไม่เพิ่มรายการผิด และไม่ปิด modal</x:v>
      </x:c>
      <x:c r="K27" s="139" t="str">
        <x:v>-</x:v>
      </x:c>
      <x:c r="L27" s="139" t="str">
        <x:v>ทุกขนาดที่รองรับ</x:v>
      </x:c>
      <x:c r="M27" s="145"/>
      <x:c r="N27" s="145" t="str">
        <x:v>Not Run</x:v>
      </x:c>
      <x:c r="O27" s="145"/>
      <x:c r="P27" s="145"/>
      <x:c r="Q27" s="145"/>
      <x:c r="R27" s="148"/>
      <x:c r="S27" s="145"/>
    </x:row>
    <x:row r="28" ht="58" customHeight="1">
      <x:c r="A28" s="142" t="str">
        <x:v>WU-022</x:v>
      </x:c>
      <x:c r="B28" s="142" t="str">
        <x:v>REQ-WU-SIGNIN</x:v>
      </x:c>
      <x:c r="C28" s="142" t="str">
        <x:v>SignIn</x:v>
      </x:c>
      <x:c r="D28" s="142" t="str">
        <x:v>สมัครสมาชิกสำเร็จ</x:v>
      </x:c>
      <x:c r="E28" s="142" t="str">
        <x:v>End-to-End</x:v>
      </x:c>
      <x:c r="F28" s="142" t="str">
        <x:v>P0-Critical</x:v>
      </x:c>
      <x:c r="G28" s="139" t="str">
        <x:v>Username ใหม่และข้อมูลครบ</x:v>
      </x:c>
      <x:c r="H28" s="139" t="str">
        <x:v>กรอก Account, Profile, Constraint, Busy days แล้วกด Create account</x:v>
      </x:c>
      <x:c r="I28" s="139" t="str">
        <x:v>USER_NEW + CONSTRAINT_STANDARD</x:v>
      </x:c>
      <x:c r="J28" s="139" t="str">
        <x:v>payload ตรง contract, สมัครสำเร็จ และนำไปหน้า LogIn/หน้าที่กำหนด</x:v>
      </x:c>
      <x:c r="K28" s="139" t="str">
        <x:v>POST /auth/register</x:v>
      </x:c>
      <x:c r="L28" s="139" t="str">
        <x:v>ทุกขนาดที่รองรับ</x:v>
      </x:c>
      <x:c r="M28" s="145"/>
      <x:c r="N28" s="145" t="str">
        <x:v>Not Run</x:v>
      </x:c>
      <x:c r="O28" s="145"/>
      <x:c r="P28" s="145"/>
      <x:c r="Q28" s="145"/>
      <x:c r="R28" s="148"/>
      <x:c r="S28" s="145"/>
    </x:row>
    <x:row r="29" ht="58" customHeight="1">
      <x:c r="A29" s="142" t="str">
        <x:v>WU-023</x:v>
      </x:c>
      <x:c r="B29" s="142" t="str">
        <x:v>REQ-WU-SIGNIN</x:v>
      </x:c>
      <x:c r="C29" s="142" t="str">
        <x:v>SignIn</x:v>
      </x:c>
      <x:c r="D29" s="142" t="str">
        <x:v>เครือข่ายล้มเหลว</x:v>
      </x:c>
      <x:c r="E29" s="142" t="str">
        <x:v>Recovery</x:v>
      </x:c>
      <x:c r="F29" s="142" t="str">
        <x:v>P1-High</x:v>
      </x:c>
      <x:c r="G29" s="139" t="str">
        <x:v>จำลอง API timeout/500</x:v>
      </x:c>
      <x:c r="H29" s="139" t="str">
        <x:v>ส่งฟอร์มสมัครสมาชิก</x:v>
      </x:c>
      <x:c r="I29" s="139" t="str">
        <x:v>Network offline / HTTP 500</x:v>
      </x:c>
      <x:c r="J29" s="139" t="str">
        <x:v>แสดงข้อผิดพลาดที่ลองใหม่ได้ ปุ่มกลับมาใช้งาน และค่าที่กรอกไม่หาย</x:v>
      </x:c>
      <x:c r="K29" s="139" t="str">
        <x:v>POST /auth/register</x:v>
      </x:c>
      <x:c r="L29" s="139" t="str">
        <x:v>ทุกขนาดที่รองรับ</x:v>
      </x:c>
      <x:c r="M29" s="145"/>
      <x:c r="N29" s="145" t="str">
        <x:v>Not Run</x:v>
      </x:c>
      <x:c r="O29" s="145"/>
      <x:c r="P29" s="145"/>
      <x:c r="Q29" s="145"/>
      <x:c r="R29" s="148"/>
      <x:c r="S29" s="145"/>
    </x:row>
    <x:row r="30" ht="58" customHeight="1">
      <x:c r="A30" s="142" t="str">
        <x:v>WU-024</x:v>
      </x:c>
      <x:c r="B30" s="142" t="str">
        <x:v>REQ-WU-MAIN</x:v>
      </x:c>
      <x:c r="C30" s="142" t="str">
        <x:v>Main</x:v>
      </x:c>
      <x:c r="D30" s="142" t="str">
        <x:v>Auth guard และโหลดข้อมูล</x:v>
      </x:c>
      <x:c r="E30" s="142" t="str">
        <x:v>End-to-End</x:v>
      </x:c>
      <x:c r="F30" s="142" t="str">
        <x:v>P0-Critical</x:v>
      </x:c>
      <x:c r="G30" s="139" t="str">
        <x:v>ล็อกอินแล้ว</x:v>
      </x:c>
      <x:c r="H30" s="139" t="str">
        <x:v>เปิด /Main</x:v>
      </x:c>
      <x:c r="I30" s="139" t="str">
        <x:v>USER_VALID</x:v>
      </x:c>
      <x:c r="J30" s="139" t="str">
        <x:v>โหลด Profile, Constraint, Current term และ Schedule สำเร็จโดยไม่มี No token provided</x:v>
      </x:c>
      <x:c r="K30" s="139" t="str">
        <x:v>GET profile/constraints/term/schedule</x:v>
      </x:c>
      <x:c r="L30" s="139" t="str">
        <x:v>ทุกขนาดที่รองรับ</x:v>
      </x:c>
      <x:c r="M30" s="145"/>
      <x:c r="N30" s="145" t="str">
        <x:v>Not Run</x:v>
      </x:c>
      <x:c r="O30" s="145"/>
      <x:c r="P30" s="145"/>
      <x:c r="Q30" s="145"/>
      <x:c r="R30" s="148"/>
      <x:c r="S30" s="145"/>
    </x:row>
    <x:row r="31" ht="58" customHeight="1">
      <x:c r="A31" s="142" t="str">
        <x:v>WU-025</x:v>
      </x:c>
      <x:c r="B31" s="142" t="str">
        <x:v>REQ-WU-MAIN</x:v>
      </x:c>
      <x:c r="C31" s="142" t="str">
        <x:v>Main</x:v>
      </x:c>
      <x:c r="D31" s="142" t="str">
        <x:v>Student Card</x:v>
      </x:c>
      <x:c r="E31" s="142" t="str">
        <x:v>Functional</x:v>
      </x:c>
      <x:c r="F31" s="142" t="str">
        <x:v>P1-High</x:v>
      </x:c>
      <x:c r="G31" s="139" t="str">
        <x:v>มีข้อมูลโปรไฟล์</x:v>
      </x:c>
      <x:c r="H31" s="139" t="str">
        <x:v>ตรวจชื่อ สาขา วันเกิด รูป และกดบัตร</x:v>
      </x:c>
      <x:c r="I31" s="139" t="str">
        <x:v>PROFILE_COMPLETE</x:v>
      </x:c>
      <x:c r="J31" s="139" t="str">
        <x:v>บัตรแสดงข้อมูลถูกต้องและเปิด popup รายละเอียด</x:v>
      </x:c>
      <x:c r="K31" s="139" t="str">
        <x:v>-</x:v>
      </x:c>
      <x:c r="L31" s="139" t="str">
        <x:v>ทุกขนาดที่รองรับ</x:v>
      </x:c>
      <x:c r="M31" s="145"/>
      <x:c r="N31" s="145" t="str">
        <x:v>Not Run</x:v>
      </x:c>
      <x:c r="O31" s="145"/>
      <x:c r="P31" s="145"/>
      <x:c r="Q31" s="145"/>
      <x:c r="R31" s="148"/>
      <x:c r="S31" s="145"/>
    </x:row>
    <x:row r="32" ht="58" customHeight="1">
      <x:c r="A32" s="142" t="str">
        <x:v>WU-026</x:v>
      </x:c>
      <x:c r="B32" s="142" t="str">
        <x:v>REQ-WU-MAIN</x:v>
      </x:c>
      <x:c r="C32" s="142" t="str">
        <x:v>Main</x:v>
      </x:c>
      <x:c r="D32" s="142" t="str">
        <x:v>แก้ไข Profile</x:v>
      </x:c>
      <x:c r="E32" s="142" t="str">
        <x:v>End-to-End</x:v>
      </x:c>
      <x:c r="F32" s="142" t="str">
        <x:v>P0-Critical</x:v>
      </x:c>
      <x:c r="G32" s="139" t="str">
        <x:v>เปิด Student popup</x:v>
      </x:c>
      <x:c r="H32" s="139" t="str">
        <x:v>แก้ชื่อ วันเกิด เพศ แล้ว Save Changes</x:v>
      </x:c>
      <x:c r="I32" s="139" t="str">
        <x:v>nini, 13/06/2006, ชาย</x:v>
      </x:c>
      <x:c r="J32" s="139" t="str">
        <x:v>บันทึกสำเร็จ ปิด/รีเฟรชแล้วยังเป็นค่าใหม่</x:v>
      </x:c>
      <x:c r="K32" s="139" t="str">
        <x:v>PUT profile</x:v>
      </x:c>
      <x:c r="L32" s="139" t="str">
        <x:v>ทุกขนาดที่รองรับ</x:v>
      </x:c>
      <x:c r="M32" s="145"/>
      <x:c r="N32" s="145" t="str">
        <x:v>Not Run</x:v>
      </x:c>
      <x:c r="O32" s="145"/>
      <x:c r="P32" s="145"/>
      <x:c r="Q32" s="145"/>
      <x:c r="R32" s="148"/>
      <x:c r="S32" s="145"/>
    </x:row>
    <x:row r="33" ht="58" customHeight="1">
      <x:c r="A33" s="142" t="str">
        <x:v>WU-027</x:v>
      </x:c>
      <x:c r="B33" s="142" t="str">
        <x:v>REQ-WU-MAIN</x:v>
      </x:c>
      <x:c r="C33" s="142" t="str">
        <x:v>Main</x:v>
      </x:c>
      <x:c r="D33" s="142" t="str">
        <x:v>เปลี่ยนรูป Profile</x:v>
      </x:c>
      <x:c r="E33" s="142" t="str">
        <x:v>Integration</x:v>
      </x:c>
      <x:c r="F33" s="142" t="str">
        <x:v>P0-Critical</x:v>
      </x:c>
      <x:c r="G33" s="139" t="str">
        <x:v>เปิด Edit Profile</x:v>
      </x:c>
      <x:c r="H33" s="139" t="str">
        <x:v>เลือกไฟล์รูปที่รองรับและกด Save</x:v>
      </x:c>
      <x:c r="I33" s="139" t="str">
        <x:v>PNG/JPG ขนาดปกติ</x:v>
      </x:c>
      <x:c r="J33" s="139" t="str">
        <x:v>แสดง preview อัปโหลดสำเร็จ URL ใหม่สะท้อนบนบัตร และไม่ขึ้น No image uploaded</x:v>
      </x:c>
      <x:c r="K33" s="139" t="str">
        <x:v>Multipart avatar upload</x:v>
      </x:c>
      <x:c r="L33" s="139" t="str">
        <x:v>ทุกขนาดที่รองรับ</x:v>
      </x:c>
      <x:c r="M33" s="145"/>
      <x:c r="N33" s="145" t="str">
        <x:v>Not Run</x:v>
      </x:c>
      <x:c r="O33" s="145"/>
      <x:c r="P33" s="145"/>
      <x:c r="Q33" s="145"/>
      <x:c r="R33" s="148"/>
      <x:c r="S33" s="145"/>
    </x:row>
    <x:row r="34" ht="58" customHeight="1">
      <x:c r="A34" s="142" t="str">
        <x:v>WU-028</x:v>
      </x:c>
      <x:c r="B34" s="142" t="str">
        <x:v>REQ-WU-MAIN</x:v>
      </x:c>
      <x:c r="C34" s="142" t="str">
        <x:v>Main</x:v>
      </x:c>
      <x:c r="D34" s="142" t="str">
        <x:v>ไฟล์รูปไม่ถูกต้อง</x:v>
      </x:c>
      <x:c r="E34" s="142" t="str">
        <x:v>Negative</x:v>
      </x:c>
      <x:c r="F34" s="142" t="str">
        <x:v>P1-High</x:v>
      </x:c>
      <x:c r="G34" s="139" t="str">
        <x:v>เปิด Edit Profile</x:v>
      </x:c>
      <x:c r="H34" s="139" t="str">
        <x:v>เลือกไฟล์ชนิด/ขนาดเกินกติกา</x:v>
      </x:c>
      <x:c r="I34" s="139" t="str">
        <x:v>PDF หรือรูปขนาดใหญ่</x:v>
      </x:c>
      <x:c r="J34" s="139" t="str">
        <x:v>แจ้งชนิด/ขนาดที่รองรับ ไม่เปลี่ยนรูปเดิม และยังแก้ข้อมูลอื่นได้</x:v>
      </x:c>
      <x:c r="K34" s="139" t="str">
        <x:v>-</x:v>
      </x:c>
      <x:c r="L34" s="139" t="str">
        <x:v>ทุกขนาดที่รองรับ</x:v>
      </x:c>
      <x:c r="M34" s="145"/>
      <x:c r="N34" s="145" t="str">
        <x:v>Not Run</x:v>
      </x:c>
      <x:c r="O34" s="145"/>
      <x:c r="P34" s="145"/>
      <x:c r="Q34" s="145"/>
      <x:c r="R34" s="148"/>
      <x:c r="S34" s="145"/>
    </x:row>
    <x:row r="35" ht="58" customHeight="1">
      <x:c r="A35" s="142" t="str">
        <x:v>WU-029</x:v>
      </x:c>
      <x:c r="B35" s="142" t="str">
        <x:v>REQ-WU-MAIN</x:v>
      </x:c>
      <x:c r="C35" s="142" t="str">
        <x:v>Main</x:v>
      </x:c>
      <x:c r="D35" s="142" t="str">
        <x:v>Constraint tab</x:v>
      </x:c>
      <x:c r="E35" s="142" t="str">
        <x:v>Functional</x:v>
      </x:c>
      <x:c r="F35" s="142" t="str">
        <x:v>P1-High</x:v>
      </x:c>
      <x:c r="G35" s="139" t="str">
        <x:v>เปิด Student popup</x:v>
      </x:c>
      <x:c r="H35" s="139" t="str">
        <x:v>สลับ Profile/Constraint หลายครั้ง</x:v>
      </x:c>
      <x:c r="I35" s="139" t="str">
        <x:v>-</x:v>
      </x:c>
      <x:c r="J35" s="139" t="str">
        <x:v>แสดงข้อมูลคนละชุดโดยค่าแก้ไขไม่หายและแท็บ active ชัดเจน</x:v>
      </x:c>
      <x:c r="K35" s="139" t="str">
        <x:v>-</x:v>
      </x:c>
      <x:c r="L35" s="139" t="str">
        <x:v>ทุกขนาดที่รองรับ</x:v>
      </x:c>
      <x:c r="M35" s="145"/>
      <x:c r="N35" s="145" t="str">
        <x:v>Not Run</x:v>
      </x:c>
      <x:c r="O35" s="145"/>
      <x:c r="P35" s="145"/>
      <x:c r="Q35" s="145"/>
      <x:c r="R35" s="148"/>
      <x:c r="S35" s="145"/>
    </x:row>
    <x:row r="36" ht="58" customHeight="1">
      <x:c r="A36" s="142" t="str">
        <x:v>WU-030</x:v>
      </x:c>
      <x:c r="B36" s="142" t="str">
        <x:v>REQ-WU-MAIN</x:v>
      </x:c>
      <x:c r="C36" s="142" t="str">
        <x:v>Main</x:v>
      </x:c>
      <x:c r="D36" s="142" t="str">
        <x:v>เพิ่ม Busy day ใน Edit Profile</x:v>
      </x:c>
      <x:c r="E36" s="142" t="str">
        <x:v>Functional</x:v>
      </x:c>
      <x:c r="F36" s="142" t="str">
        <x:v>P1-High</x:v>
      </x:c>
      <x:c r="G36" s="139" t="str">
        <x:v>อยู่ Constraint tab</x:v>
      </x:c>
      <x:c r="H36" s="139" t="str">
        <x:v>กด +Add แล้วเพิ่มรายการ</x:v>
      </x:c>
      <x:c r="I36" s="139" t="str">
        <x:v>Sun 13:00-15:00</x:v>
      </x:c>
      <x:c r="J36" s="139" t="str">
        <x:v>รายการใหม่อยู่บนสุด เลือกเวลาได้ครบ และบันทึกสำเร็จ</x:v>
      </x:c>
      <x:c r="K36" s="139" t="str">
        <x:v>PUT constraints</x:v>
      </x:c>
      <x:c r="L36" s="139" t="str">
        <x:v>ทุกขนาดที่รองรับ</x:v>
      </x:c>
      <x:c r="M36" s="145"/>
      <x:c r="N36" s="145" t="str">
        <x:v>Not Run</x:v>
      </x:c>
      <x:c r="O36" s="145"/>
      <x:c r="P36" s="145"/>
      <x:c r="Q36" s="145"/>
      <x:c r="R36" s="148"/>
      <x:c r="S36" s="145"/>
    </x:row>
    <x:row r="37" ht="58" customHeight="1">
      <x:c r="A37" s="142" t="str">
        <x:v>WU-031</x:v>
      </x:c>
      <x:c r="B37" s="142" t="str">
        <x:v>REQ-WU-MAIN</x:v>
      </x:c>
      <x:c r="C37" s="142" t="str">
        <x:v>Main</x:v>
      </x:c>
      <x:c r="D37" s="142" t="str">
        <x:v>บันทึก Constraint</x:v>
      </x:c>
      <x:c r="E37" s="142" t="str">
        <x:v>Integration</x:v>
      </x:c>
      <x:c r="F37" s="142" t="str">
        <x:v>P0-Critical</x:v>
      </x:c>
      <x:c r="G37" s="139" t="str">
        <x:v>แก้เวลาทำงาน/พัก/Busy day ถูกต้อง</x:v>
      </x:c>
      <x:c r="H37" s="139" t="str">
        <x:v>กด Save Changes แล้วเปิดใหม่</x:v>
      </x:c>
      <x:c r="I37" s="139" t="str">
        <x:v>CONSTRAINT_UPDATED</x:v>
      </x:c>
      <x:c r="J37" s="139" t="str">
        <x:v>ค่าตรงกับ Backend และคงอยู่หลัง refresh</x:v>
      </x:c>
      <x:c r="K37" s="139" t="str">
        <x:v>PUT constraints</x:v>
      </x:c>
      <x:c r="L37" s="139" t="str">
        <x:v>ทุกขนาดที่รองรับ</x:v>
      </x:c>
      <x:c r="M37" s="145"/>
      <x:c r="N37" s="145" t="str">
        <x:v>Not Run</x:v>
      </x:c>
      <x:c r="O37" s="145"/>
      <x:c r="P37" s="145"/>
      <x:c r="Q37" s="145"/>
      <x:c r="R37" s="148"/>
      <x:c r="S37" s="145"/>
    </x:row>
    <x:row r="38" ht="58" customHeight="1">
      <x:c r="A38" s="142" t="str">
        <x:v>WU-032</x:v>
      </x:c>
      <x:c r="B38" s="142" t="str">
        <x:v>REQ-WU-MAIN</x:v>
      </x:c>
      <x:c r="C38" s="142" t="str">
        <x:v>Main</x:v>
      </x:c>
      <x:c r="D38" s="142" t="str">
        <x:v>ยังไม่มีเทอม</x:v>
      </x:c>
      <x:c r="E38" s="142" t="str">
        <x:v>Functional</x:v>
      </x:c>
      <x:c r="F38" s="142" t="str">
        <x:v>P0-Critical</x:v>
      </x:c>
      <x:c r="G38" s="139" t="str">
        <x:v>ผู้ใช้ไม่มี current term</x:v>
      </x:c>
      <x:c r="H38" s="139" t="str">
        <x:v>เปิด Main</x:v>
      </x:c>
      <x:c r="I38" s="139" t="str">
        <x:v>NO_CURRENT_TERM</x:v>
      </x:c>
      <x:c r="J38" s="139" t="str">
        <x:v>แสดงการ์ดให้สร้างเทอมและปุ่ม +; ส่วนที่ต้องพึ่งเทอมไม่แสดง error เชื่อมต่อ</x:v>
      </x:c>
      <x:c r="K38" s="139" t="str">
        <x:v>-</x:v>
      </x:c>
      <x:c r="L38" s="139" t="str">
        <x:v>ทุกขนาดที่รองรับ</x:v>
      </x:c>
      <x:c r="M38" s="145"/>
      <x:c r="N38" s="145" t="str">
        <x:v>Not Run</x:v>
      </x:c>
      <x:c r="O38" s="145"/>
      <x:c r="P38" s="145"/>
      <x:c r="Q38" s="145"/>
      <x:c r="R38" s="148"/>
      <x:c r="S38" s="145"/>
    </x:row>
    <x:row r="39" ht="58" customHeight="1">
      <x:c r="A39" s="142" t="str">
        <x:v>WU-033</x:v>
      </x:c>
      <x:c r="B39" s="142" t="str">
        <x:v>REQ-WU-MAIN</x:v>
      </x:c>
      <x:c r="C39" s="142" t="str">
        <x:v>Main</x:v>
      </x:c>
      <x:c r="D39" s="142" t="str">
        <x:v>สร้างเทอมและ Dropdown hover</x:v>
      </x:c>
      <x:c r="E39" s="142" t="str">
        <x:v>End-to-End</x:v>
      </x:c>
      <x:c r="F39" s="142" t="str">
        <x:v>P0-Critical</x:v>
      </x:c>
      <x:c r="G39" s="139" t="str">
        <x:v>ยังไม่มีเทอม</x:v>
      </x:c>
      <x:c r="H39" s="139" t="str">
        <x:v>กด + เลือกปี/ภาคเรียนโดย hover แล้วบันทึก</x:v>
      </x:c>
      <x:c r="I39" s="139" t="str">
        <x:v>ปี 2569 ภาค 1</x:v>
      </x:c>
      <x:c r="J39" s="139" t="str">
        <x:v>Dropdown hover เหมือนชุดเดียวกัน สร้างเทอมสำเร็จและแสดง Term card</x:v>
      </x:c>
      <x:c r="K39" s="139" t="str">
        <x:v>POST current term</x:v>
      </x:c>
      <x:c r="L39" s="139" t="str">
        <x:v>ทุกขนาดที่รองรับ</x:v>
      </x:c>
      <x:c r="M39" s="145"/>
      <x:c r="N39" s="145" t="str">
        <x:v>Not Run</x:v>
      </x:c>
      <x:c r="O39" s="145"/>
      <x:c r="P39" s="145"/>
      <x:c r="Q39" s="145"/>
      <x:c r="R39" s="148"/>
      <x:c r="S39" s="145"/>
    </x:row>
    <x:row r="40" ht="58" customHeight="1">
      <x:c r="A40" s="142" t="str">
        <x:v>WU-034</x:v>
      </x:c>
      <x:c r="B40" s="142" t="str">
        <x:v>REQ-WU-MAIN</x:v>
      </x:c>
      <x:c r="C40" s="142" t="str">
        <x:v>Main</x:v>
      </x:c>
      <x:c r="D40" s="142" t="str">
        <x:v>ข้อมูลเทอมไม่ครบ/ซ้ำ</x:v>
      </x:c>
      <x:c r="E40" s="142" t="str">
        <x:v>Validation</x:v>
      </x:c>
      <x:c r="F40" s="142" t="str">
        <x:v>P1-High</x:v>
      </x:c>
      <x:c r="G40" s="139" t="str">
        <x:v>เปิด Create Term popup</x:v>
      </x:c>
      <x:c r="H40" s="139" t="str">
        <x:v>เว้นค่า หรือสร้างซ้ำ current term</x:v>
      </x:c>
      <x:c r="I40" s="139" t="str">
        <x:v>ค่าว่าง/เทอมเดิม</x:v>
      </x:c>
      <x:c r="J40" s="139" t="str">
        <x:v>แจ้งสาเหตุ ไม่สร้างข้อมูลซ้ำ และ popup ยังใช้งานได้</x:v>
      </x:c>
      <x:c r="K40" s="139" t="str">
        <x:v>POST current term</x:v>
      </x:c>
      <x:c r="L40" s="139" t="str">
        <x:v>ทุกขนาดที่รองรับ</x:v>
      </x:c>
      <x:c r="M40" s="145"/>
      <x:c r="N40" s="145" t="str">
        <x:v>Not Run</x:v>
      </x:c>
      <x:c r="O40" s="145"/>
      <x:c r="P40" s="145"/>
      <x:c r="Q40" s="145"/>
      <x:c r="R40" s="148"/>
      <x:c r="S40" s="145"/>
    </x:row>
    <x:row r="41" ht="58" customHeight="1">
      <x:c r="A41" s="142" t="str">
        <x:v>WU-035</x:v>
      </x:c>
      <x:c r="B41" s="142" t="str">
        <x:v>REQ-WU-MAIN</x:v>
      </x:c>
      <x:c r="C41" s="142" t="str">
        <x:v>Main</x:v>
      </x:c>
      <x:c r="D41" s="142" t="str">
        <x:v>รายละเอียดและจบเทอม</x:v>
      </x:c>
      <x:c r="E41" s="142" t="str">
        <x:v>End-to-End</x:v>
      </x:c>
      <x:c r="F41" s="142" t="str">
        <x:v>P0-Critical</x:v>
      </x:c>
      <x:c r="G41" s="139" t="str">
        <x:v>มี current term</x:v>
      </x:c>
      <x:c r="H41" s="139" t="str">
        <x:v>กด Term card ตรวจรายละเอียด แล้วกด End term และยืนยัน</x:v>
      </x:c>
      <x:c r="I41" s="139" t="str">
        <x:v>TERM_ACTIVE</x:v>
      </x:c>
      <x:c r="J41" s="139" t="str">
        <x:v>รายละเอียดถูกต้อง; หลังจบกลับสถานะสร้างเทอมและหน้าที่พึ่งเทอมอัปเดต</x:v>
      </x:c>
      <x:c r="K41" s="139" t="str">
        <x:v>GET/DELETE current term</x:v>
      </x:c>
      <x:c r="L41" s="139" t="str">
        <x:v>ทุกขนาดที่รองรับ</x:v>
      </x:c>
      <x:c r="M41" s="145"/>
      <x:c r="N41" s="145" t="str">
        <x:v>Not Run</x:v>
      </x:c>
      <x:c r="O41" s="145"/>
      <x:c r="P41" s="145"/>
      <x:c r="Q41" s="145"/>
      <x:c r="R41" s="148"/>
      <x:c r="S41" s="145"/>
    </x:row>
    <x:row r="42" ht="58" customHeight="1">
      <x:c r="A42" s="142" t="str">
        <x:v>WU-036</x:v>
      </x:c>
      <x:c r="B42" s="142" t="str">
        <x:v>REQ-WU-MAIN</x:v>
      </x:c>
      <x:c r="C42" s="142" t="str">
        <x:v>Main</x:v>
      </x:c>
      <x:c r="D42" s="142" t="str">
        <x:v>ตารางว่าง</x:v>
      </x:c>
      <x:c r="E42" s="142" t="str">
        <x:v>Functional</x:v>
      </x:c>
      <x:c r="F42" s="142" t="str">
        <x:v>P1-High</x:v>
      </x:c>
      <x:c r="G42" s="139" t="str">
        <x:v>มีเทอมแต่ไม่มี Schedule</x:v>
      </x:c>
      <x:c r="H42" s="139" t="str">
        <x:v>เปิด Main</x:v>
      </x:c>
      <x:c r="I42" s="139" t="str">
        <x:v>TERM_EMPTY_SCHEDULE</x:v>
      </x:c>
      <x:c r="J42" s="139" t="str">
        <x:v>ไม่แสดงตาราง/ปุ่มผิดเงื่อนไข และมีคำแนะนำเพิ่มข้อมูลตามดีไซน์</x:v>
      </x:c>
      <x:c r="K42" s="139" t="str">
        <x:v>-</x:v>
      </x:c>
      <x:c r="L42" s="139" t="str">
        <x:v>ทุกขนาดที่รองรับ</x:v>
      </x:c>
      <x:c r="M42" s="145"/>
      <x:c r="N42" s="145" t="str">
        <x:v>Not Run</x:v>
      </x:c>
      <x:c r="O42" s="145"/>
      <x:c r="P42" s="145"/>
      <x:c r="Q42" s="145"/>
      <x:c r="R42" s="148"/>
      <x:c r="S42" s="145"/>
    </x:row>
    <x:row r="43" ht="58" customHeight="1">
      <x:c r="A43" s="142" t="str">
        <x:v>WU-037</x:v>
      </x:c>
      <x:c r="B43" s="142" t="str">
        <x:v>REQ-WU-MAIN</x:v>
      </x:c>
      <x:c r="C43" s="142" t="str">
        <x:v>Main</x:v>
      </x:c>
      <x:c r="D43" s="142" t="str">
        <x:v>เพิ่ม Schedule</x:v>
      </x:c>
      <x:c r="E43" s="142" t="str">
        <x:v>End-to-End</x:v>
      </x:c>
      <x:c r="F43" s="142" t="str">
        <x:v>P0-Critical</x:v>
      </x:c>
      <x:c r="G43" s="139" t="str">
        <x:v>มีเทอมและมีรายวิชา</x:v>
      </x:c>
      <x:c r="H43" s="139" t="str">
        <x:v>กดเพิ่ม เลือกวิชา/ประเภท/วัน/เวลา แล้วบันทึก</x:v>
      </x:c>
      <x:c r="I43" s="139" t="str">
        <x:v>BI, schedule_type=1, Mon 08:00-10:00</x:v>
      </x:c>
      <x:c r="J43" s="139" t="str">
        <x:v>สร้าง block ถูกวัน/เวลาและข้อมูลตรง Backend</x:v>
      </x:c>
      <x:c r="K43" s="139" t="str">
        <x:v>POST schedule</x:v>
      </x:c>
      <x:c r="L43" s="139" t="str">
        <x:v>ทุกขนาดที่รองรับ</x:v>
      </x:c>
      <x:c r="M43" s="145"/>
      <x:c r="N43" s="145" t="str">
        <x:v>Not Run</x:v>
      </x:c>
      <x:c r="O43" s="145"/>
      <x:c r="P43" s="145"/>
      <x:c r="Q43" s="145"/>
      <x:c r="R43" s="148"/>
      <x:c r="S43" s="145"/>
    </x:row>
    <x:row r="44" ht="58" customHeight="1">
      <x:c r="A44" s="142" t="str">
        <x:v>WU-038</x:v>
      </x:c>
      <x:c r="B44" s="142" t="str">
        <x:v>REQ-WU-MAIN</x:v>
      </x:c>
      <x:c r="C44" s="142" t="str">
        <x:v>Main</x:v>
      </x:c>
      <x:c r="D44" s="142" t="str">
        <x:v>ช่วงตารางตามบล็อกเวลา</x:v>
      </x:c>
      <x:c r="E44" s="142" t="str">
        <x:v>UI/UX</x:v>
      </x:c>
      <x:c r="F44" s="142" t="str">
        <x:v>P1-High</x:v>
      </x:c>
      <x:c r="G44" s="139" t="str">
        <x:v>มีบล็อกเช้ามากและดึก</x:v>
      </x:c>
      <x:c r="H44" s="139" t="str">
        <x:v>เปิดตารางและ scroll</x:v>
      </x:c>
      <x:c r="I44" s="139" t="str">
        <x:v>05:00-06:00, 23:00-01:00</x:v>
      </x:c>
      <x:c r="J44" s="139" t="str">
        <x:v>ตารางเริ่มตามเวลาบล็อกที่เร็วสุด ยาวพอเห็นข้อมูล เส้น/ขอบโค้งสม่ำเสมอ</x:v>
      </x:c>
      <x:c r="K44" s="139" t="str">
        <x:v>-</x:v>
      </x:c>
      <x:c r="L44" s="139" t="str">
        <x:v>ทุกขนาดที่รองรับ</x:v>
      </x:c>
      <x:c r="M44" s="145"/>
      <x:c r="N44" s="145" t="str">
        <x:v>Not Run</x:v>
      </x:c>
      <x:c r="O44" s="145"/>
      <x:c r="P44" s="145"/>
      <x:c r="Q44" s="145"/>
      <x:c r="R44" s="148"/>
      <x:c r="S44" s="145"/>
    </x:row>
    <x:row r="45" ht="58" customHeight="1">
      <x:c r="A45" s="142" t="str">
        <x:v>WU-039</x:v>
      </x:c>
      <x:c r="B45" s="142" t="str">
        <x:v>REQ-WU-MAIN</x:v>
      </x:c>
      <x:c r="C45" s="142" t="str">
        <x:v>Main</x:v>
      </x:c>
      <x:c r="D45" s="142" t="str">
        <x:v>Schedule ทับซ้อน</x:v>
      </x:c>
      <x:c r="E45" s="142" t="str">
        <x:v>Validation</x:v>
      </x:c>
      <x:c r="F45" s="142" t="str">
        <x:v>P0-Critical</x:v>
      </x:c>
      <x:c r="G45" s="139" t="str">
        <x:v>มี Mon 08:00-10:00 แล้ว</x:v>
      </x:c>
      <x:c r="H45" s="139" t="str">
        <x:v>เพิ่ม Mon 09:00-11:00</x:v>
      </x:c>
      <x:c r="I45" s="139" t="str">
        <x:v>ช่วงทับซ้อน</x:v>
      </x:c>
      <x:c r="J45" s="139" t="str">
        <x:v>ไม่เพิ่มและแจ้งช่วงเวลาทับซ้อนอย่างชัดเจน</x:v>
      </x:c>
      <x:c r="K45" s="139" t="str">
        <x:v>POST schedule</x:v>
      </x:c>
      <x:c r="L45" s="139" t="str">
        <x:v>ทุกขนาดที่รองรับ</x:v>
      </x:c>
      <x:c r="M45" s="145"/>
      <x:c r="N45" s="145" t="str">
        <x:v>Not Run</x:v>
      </x:c>
      <x:c r="O45" s="145"/>
      <x:c r="P45" s="145"/>
      <x:c r="Q45" s="145"/>
      <x:c r="R45" s="148"/>
      <x:c r="S45" s="145"/>
    </x:row>
    <x:row r="46" ht="58" customHeight="1">
      <x:c r="A46" s="142" t="str">
        <x:v>WU-040</x:v>
      </x:c>
      <x:c r="B46" s="142" t="str">
        <x:v>REQ-WU-MAIN</x:v>
      </x:c>
      <x:c r="C46" s="142" t="str">
        <x:v>Main</x:v>
      </x:c>
      <x:c r="D46" s="142" t="str">
        <x:v>ดู/แก้ไข/ลบ Schedule</x:v>
      </x:c>
      <x:c r="E46" s="142" t="str">
        <x:v>End-to-End</x:v>
      </x:c>
      <x:c r="F46" s="142" t="str">
        <x:v>P0-Critical</x:v>
      </x:c>
      <x:c r="G46" s="139" t="str">
        <x:v>มี schedule block</x:v>
      </x:c>
      <x:c r="H46" s="139" t="str">
        <x:v>กด block แก้ข้อมูล Save จากนั้น Delete และยืนยัน</x:v>
      </x:c>
      <x:c r="I46" s="139" t="str">
        <x:v>เปลี่ยนเป็น Tue 10:00-12:00</x:v>
      </x:c>
      <x:c r="J46" s="139" t="str">
        <x:v>แก้แล้ว block ย้ายถูกตำแหน่ง; ลบแล้วหายทั้ง UI/Backend</x:v>
      </x:c>
      <x:c r="K46" s="139" t="str">
        <x:v>GET/PUT/DELETE schedule</x:v>
      </x:c>
      <x:c r="L46" s="139" t="str">
        <x:v>ทุกขนาดที่รองรับ</x:v>
      </x:c>
      <x:c r="M46" s="145"/>
      <x:c r="N46" s="145" t="str">
        <x:v>Not Run</x:v>
      </x:c>
      <x:c r="O46" s="145"/>
      <x:c r="P46" s="145"/>
      <x:c r="Q46" s="145"/>
      <x:c r="R46" s="148"/>
      <x:c r="S46" s="145"/>
    </x:row>
    <x:row r="47" ht="58" customHeight="1">
      <x:c r="A47" s="142" t="str">
        <x:v>WU-041</x:v>
      </x:c>
      <x:c r="B47" s="142" t="str">
        <x:v>REQ-WU-MAIN</x:v>
      </x:c>
      <x:c r="C47" s="142" t="str">
        <x:v>Main</x:v>
      </x:c>
      <x:c r="D47" s="142" t="str">
        <x:v>Notebook navigation</x:v>
      </x:c>
      <x:c r="E47" s="142" t="str">
        <x:v>Navigation</x:v>
      </x:c>
      <x:c r="F47" s="142" t="str">
        <x:v>P1-High</x:v>
      </x:c>
      <x:c r="G47" s="139" t="str">
        <x:v>ล็อกอินแล้ว</x:v>
      </x:c>
      <x:c r="H47" s="139" t="str">
        <x:v>กด Main, Score &amp; Homework, Timer, Test สลับไปมา</x:v>
      </x:c>
      <x:c r="I47" s="139" t="str">
        <x:v>-</x:v>
      </x:c>
      <x:c r="J47" s="139" t="str">
        <x:v>หน้า/ปก/แกนสมุดคงตำแหน่ง เนื้อหาเปลี่ยนโดยไม่เด้ง และ active tab ถูกต้อง</x:v>
      </x:c>
      <x:c r="K47" s="139" t="str">
        <x:v>-</x:v>
      </x:c>
      <x:c r="L47" s="139" t="str">
        <x:v>ทุกขนาดที่รองรับ</x:v>
      </x:c>
      <x:c r="M47" s="145"/>
      <x:c r="N47" s="145" t="str">
        <x:v>Not Run</x:v>
      </x:c>
      <x:c r="O47" s="145"/>
      <x:c r="P47" s="145"/>
      <x:c r="Q47" s="145"/>
      <x:c r="R47" s="148"/>
      <x:c r="S47" s="145"/>
    </x:row>
    <x:row r="48" ht="58" customHeight="1">
      <x:c r="A48" s="142" t="str">
        <x:v>WU-042</x:v>
      </x:c>
      <x:c r="B48" s="142" t="str">
        <x:v>REQ-WU-MAIN</x:v>
      </x:c>
      <x:c r="C48" s="142" t="str">
        <x:v>Main</x:v>
      </x:c>
      <x:c r="D48" s="142" t="str">
        <x:v>Responsive และ Scroll ภายใน</x:v>
      </x:c>
      <x:c r="E48" s="142" t="str">
        <x:v>Compatibility</x:v>
      </x:c>
      <x:c r="F48" s="142" t="str">
        <x:v>P1-High</x:v>
      </x:c>
      <x:c r="G48" s="139" t="str">
        <x:v>มีข้อมูลมาก</x:v>
      </x:c>
      <x:c r="H48" s="139" t="str">
        <x:v>ทดสอบหลาย viewport และ scroll</x:v>
      </x:c>
      <x:c r="I48" s="139" t="str">
        <x:v>1366x768, 1920x1080, 768x1024</x:v>
      </x:c>
      <x:c r="J48" s="139" t="str">
        <x:v>กระดาษพอดีขอบ ส่วนที่กำหนดเลื่อนภายใน ไม่มีองค์ประกอบถูกสันสมุดบัง</x:v>
      </x:c>
      <x:c r="K48" s="139" t="str">
        <x:v>-</x:v>
      </x:c>
      <x:c r="L48" s="139" t="str">
        <x:v>ทุกขนาดที่รองรับ</x:v>
      </x:c>
      <x:c r="M48" s="145"/>
      <x:c r="N48" s="145" t="str">
        <x:v>Not Run</x:v>
      </x:c>
      <x:c r="O48" s="145"/>
      <x:c r="P48" s="145"/>
      <x:c r="Q48" s="145"/>
      <x:c r="R48" s="148"/>
      <x:c r="S48" s="145"/>
    </x:row>
    <x:row r="49" ht="58" customHeight="1">
      <x:c r="A49" s="142" t="str">
        <x:v>WU-043</x:v>
      </x:c>
      <x:c r="B49" s="142" t="str">
        <x:v>REQ-WU-SCORE-HOMEWORK</x:v>
      </x:c>
      <x:c r="C49" s="142" t="str">
        <x:v>Score &amp; Homework</x:v>
      </x:c>
      <x:c r="D49" s="142" t="str">
        <x:v>ไม่มีเทอม</x:v>
      </x:c>
      <x:c r="E49" s="142" t="str">
        <x:v>Functional</x:v>
      </x:c>
      <x:c r="F49" s="142" t="str">
        <x:v>P0-Critical</x:v>
      </x:c>
      <x:c r="G49" s="139" t="str">
        <x:v>ไม่มี current term</x:v>
      </x:c>
      <x:c r="H49" s="139" t="str">
        <x:v>เปิดหน้า Score &amp; Homework</x:v>
      </x:c>
      <x:c r="I49" s="139" t="str">
        <x:v>NO_CURRENT_TERM</x:v>
      </x:c>
      <x:c r="J49" s="139" t="str">
        <x:v>แสดง shared no-term state เหมือนหน้าอื่น ไม่แสดง Add homework/Grade และไม่ขึ้น connection error</x:v>
      </x:c>
      <x:c r="K49" s="139" t="str">
        <x:v>-</x:v>
      </x:c>
      <x:c r="L49" s="139" t="str">
        <x:v>ทุกขนาดที่รองรับ</x:v>
      </x:c>
      <x:c r="M49" s="145"/>
      <x:c r="N49" s="145" t="str">
        <x:v>Not Run</x:v>
      </x:c>
      <x:c r="O49" s="145"/>
      <x:c r="P49" s="145"/>
      <x:c r="Q49" s="145"/>
      <x:c r="R49" s="148"/>
      <x:c r="S49" s="145"/>
    </x:row>
    <x:row r="50" ht="58" customHeight="1">
      <x:c r="A50" s="142" t="str">
        <x:v>WU-044</x:v>
      </x:c>
      <x:c r="B50" s="142" t="str">
        <x:v>REQ-WU-SCORE-HOMEWORK</x:v>
      </x:c>
      <x:c r="C50" s="142" t="str">
        <x:v>Score &amp; Homework</x:v>
      </x:c>
      <x:c r="D50" s="142" t="str">
        <x:v>เทอมใหม่ยังไม่มีงาน</x:v>
      </x:c>
      <x:c r="E50" s="142" t="str">
        <x:v>Functional</x:v>
      </x:c>
      <x:c r="F50" s="142" t="str">
        <x:v>P0-Critical</x:v>
      </x:c>
      <x:c r="G50" s="139" t="str">
        <x:v>มีเทอมและไม่เคยมี workload</x:v>
      </x:c>
      <x:c r="H50" s="139" t="str">
        <x:v>เปิดฝั่ง Homework</x:v>
      </x:c>
      <x:c r="I50" s="139" t="str">
        <x:v>TERM_NO_WORKLOAD</x:v>
      </x:c>
      <x:c r="J50" s="139" t="str">
        <x:v>แสดงเฉพาะปุ่มเพิ่มงาน ไม่แสดงข้อความส่งงานครบแล้ว</x:v>
      </x:c>
      <x:c r="K50" s="139" t="str">
        <x:v>-</x:v>
      </x:c>
      <x:c r="L50" s="139" t="str">
        <x:v>ทุกขนาดที่รองรับ</x:v>
      </x:c>
      <x:c r="M50" s="145"/>
      <x:c r="N50" s="145" t="str">
        <x:v>Not Run</x:v>
      </x:c>
      <x:c r="O50" s="145"/>
      <x:c r="P50" s="145"/>
      <x:c r="Q50" s="145"/>
      <x:c r="R50" s="148"/>
      <x:c r="S50" s="145"/>
    </x:row>
    <x:row r="51" ht="58" customHeight="1">
      <x:c r="A51" s="142" t="str">
        <x:v>WU-045</x:v>
      </x:c>
      <x:c r="B51" s="142" t="str">
        <x:v>REQ-WU-SCORE-HOMEWORK</x:v>
      </x:c>
      <x:c r="C51" s="142" t="str">
        <x:v>Score &amp; Homework</x:v>
      </x:c>
      <x:c r="D51" s="142" t="str">
        <x:v>เปิดเพิ่มงาน</x:v>
      </x:c>
      <x:c r="E51" s="142" t="str">
        <x:v>UI/UX</x:v>
      </x:c>
      <x:c r="F51" s="142" t="str">
        <x:v>P1-High</x:v>
      </x:c>
      <x:c r="G51" s="139" t="str">
        <x:v>มี current term</x:v>
      </x:c>
      <x:c r="H51" s="139" t="str">
        <x:v>กด เพิ่มงาน และ hover ปุ่ม</x:v>
      </x:c>
      <x:c r="I51" s="139" t="str">
        <x:v>-</x:v>
      </x:c>
      <x:c r="J51" s="139" t="str">
        <x:v>ปุ่มอยู่กึ่งกลาง เปลี่ยนสี hover ตามแบบ และ modal ไม่ถูกสันสมุดบัง</x:v>
      </x:c>
      <x:c r="K51" s="139" t="str">
        <x:v>-</x:v>
      </x:c>
      <x:c r="L51" s="139" t="str">
        <x:v>ทุกขนาดที่รองรับ</x:v>
      </x:c>
      <x:c r="M51" s="145"/>
      <x:c r="N51" s="145" t="str">
        <x:v>Not Run</x:v>
      </x:c>
      <x:c r="O51" s="145"/>
      <x:c r="P51" s="145"/>
      <x:c r="Q51" s="145"/>
      <x:c r="R51" s="148"/>
      <x:c r="S51" s="145"/>
    </x:row>
    <x:row r="52" ht="58" customHeight="1">
      <x:c r="A52" s="142" t="str">
        <x:v>WU-046</x:v>
      </x:c>
      <x:c r="B52" s="142" t="str">
        <x:v>REQ-WU-SCORE-HOMEWORK</x:v>
      </x:c>
      <x:c r="C52" s="142" t="str">
        <x:v>Score &amp; Homework</x:v>
      </x:c>
      <x:c r="D52" s="142" t="str">
        <x:v>รายวิชาใน Add Homework</x:v>
      </x:c>
      <x:c r="E52" s="142" t="str">
        <x:v>Integration</x:v>
      </x:c>
      <x:c r="F52" s="142" t="str">
        <x:v>P0-Critical</x:v>
      </x:c>
      <x:c r="G52" s="139" t="str">
        <x:v>มี schedule หลายประเภท</x:v>
      </x:c>
      <x:c r="H52" s="139" t="str">
        <x:v>เปิด dropdown วิชา</x:v>
      </x:c>
      <x:c r="I52" s="139" t="str">
        <x:v>schedule_type_id 1,2,3</x:v>
      </x:c>
      <x:c r="J52" s="139" t="str">
        <x:v>แสดงเฉพาะรายการจาก schedule_type_id=1 และไม่ผูกค่า id คงที่</x:v>
      </x:c>
      <x:c r="K52" s="139" t="str">
        <x:v>GET homework subjects/current schedule</x:v>
      </x:c>
      <x:c r="L52" s="139" t="str">
        <x:v>ทุกขนาดที่รองรับ</x:v>
      </x:c>
      <x:c r="M52" s="145"/>
      <x:c r="N52" s="145" t="str">
        <x:v>Not Run</x:v>
      </x:c>
      <x:c r="O52" s="145"/>
      <x:c r="P52" s="145"/>
      <x:c r="Q52" s="145"/>
      <x:c r="R52" s="148"/>
      <x:c r="S52" s="145"/>
    </x:row>
    <x:row r="53" ht="58" customHeight="1">
      <x:c r="A53" s="142" t="str">
        <x:v>WU-047</x:v>
      </x:c>
      <x:c r="B53" s="142" t="str">
        <x:v>REQ-WU-SCORE-HOMEWORK</x:v>
      </x:c>
      <x:c r="C53" s="142" t="str">
        <x:v>Score &amp; Homework</x:v>
      </x:c>
      <x:c r="D53" s="142" t="str">
        <x:v>ประเภทงานและสี</x:v>
      </x:c>
      <x:c r="E53" s="142" t="str">
        <x:v>UI/UX</x:v>
      </x:c>
      <x:c r="F53" s="142" t="str">
        <x:v>P1-High</x:v>
      </x:c>
      <x:c r="G53" s="139" t="str">
        <x:v>เปิด Add Homework</x:v>
      </x:c>
      <x:c r="H53" s="139" t="str">
        <x:v>ตรวจ quiz/final/midterm/project/assignment และ hover</x:v>
      </x:c>
      <x:c r="I53" s="139" t="str">
        <x:v>ทุก workload type</x:v>
      </x:c>
      <x:c r="J53" s="139" t="str">
        <x:v>สีและ hover ตรง palette เดียวกับ Score และค่าที่เลือกตรง type ID</x:v>
      </x:c>
      <x:c r="K53" s="139" t="str">
        <x:v>-</x:v>
      </x:c>
      <x:c r="L53" s="139" t="str">
        <x:v>ทุกขนาดที่รองรับ</x:v>
      </x:c>
      <x:c r="M53" s="145"/>
      <x:c r="N53" s="145" t="str">
        <x:v>Not Run</x:v>
      </x:c>
      <x:c r="O53" s="145"/>
      <x:c r="P53" s="145"/>
      <x:c r="Q53" s="145"/>
      <x:c r="R53" s="148"/>
      <x:c r="S53" s="145"/>
    </x:row>
    <x:row r="54" ht="58" customHeight="1">
      <x:c r="A54" s="142" t="str">
        <x:v>WU-048</x:v>
      </x:c>
      <x:c r="B54" s="142" t="str">
        <x:v>REQ-WU-SCORE-HOMEWORK</x:v>
      </x:c>
      <x:c r="C54" s="142" t="str">
        <x:v>Score &amp; Homework</x:v>
      </x:c>
      <x:c r="D54" s="142" t="str">
        <x:v>กำหนดส่งอดีตและเวลา 24 ชม.</x:v>
      </x:c>
      <x:c r="E54" s="142" t="str">
        <x:v>End-to-End</x:v>
      </x:c>
      <x:c r="F54" s="142" t="str">
        <x:v>P0-Critical</x:v>
      </x:c>
      <x:c r="G54" s="139" t="str">
        <x:v>เปิด Add Homework</x:v>
      </x:c>
      <x:c r="H54" s="139" t="str">
        <x:v>เลือกวันอดีต เวลา 17:05 กรอกครบแล้วบันทึก</x:v>
      </x:c>
      <x:c r="I54" s="139" t="str">
        <x:v>Yesterday 17:05</x:v>
      </x:c>
      <x:c r="J54" s="139" t="str">
        <x:v>ระบบยอมรับ แสดง 17:05 และส่ง payload 24 ชั่วโมงโดยวันที่ไม่เลื่อน timezone</x:v>
      </x:c>
      <x:c r="K54" s="139" t="str">
        <x:v>POST homework</x:v>
      </x:c>
      <x:c r="L54" s="139" t="str">
        <x:v>ทุกขนาดที่รองรับ</x:v>
      </x:c>
      <x:c r="M54" s="145"/>
      <x:c r="N54" s="145" t="str">
        <x:v>Not Run</x:v>
      </x:c>
      <x:c r="O54" s="145"/>
      <x:c r="P54" s="145"/>
      <x:c r="Q54" s="145"/>
      <x:c r="R54" s="148"/>
      <x:c r="S54" s="145"/>
    </x:row>
    <x:row r="55" ht="58" customHeight="1">
      <x:c r="A55" s="142" t="str">
        <x:v>WU-049</x:v>
      </x:c>
      <x:c r="B55" s="142" t="str">
        <x:v>REQ-WU-SCORE-HOMEWORK</x:v>
      </x:c>
      <x:c r="C55" s="142" t="str">
        <x:v>Score &amp; Homework</x:v>
      </x:c>
      <x:c r="D55" s="142" t="str">
        <x:v>Validation เพิ่มงาน</x:v>
      </x:c>
      <x:c r="E55" s="142" t="str">
        <x:v>Validation</x:v>
      </x:c>
      <x:c r="F55" s="142" t="str">
        <x:v>P0-Critical</x:v>
      </x:c>
      <x:c r="G55" s="139" t="str">
        <x:v>เปิด Add Homework</x:v>
      </x:c>
      <x:c r="H55" s="139" t="str">
        <x:v>เว้นวิชา/ประเภท/ชื่อ/กำหนดส่ง หรือกรอกชื่อยาวเกิน</x:v>
      </x:c>
      <x:c r="I55" s="139" t="str">
        <x:v>ค่าว่าง/ข้อความยาว</x:v>
      </x:c>
      <x:c r="J55" s="139" t="str">
        <x:v>แจ้งใต้ช่อง ไม่ปิด modal และไม่สร้างงาน</x:v>
      </x:c>
      <x:c r="K55" s="139" t="str">
        <x:v>-</x:v>
      </x:c>
      <x:c r="L55" s="139" t="str">
        <x:v>ทุกขนาดที่รองรับ</x:v>
      </x:c>
      <x:c r="M55" s="145"/>
      <x:c r="N55" s="145" t="str">
        <x:v>Not Run</x:v>
      </x:c>
      <x:c r="O55" s="145"/>
      <x:c r="P55" s="145"/>
      <x:c r="Q55" s="145"/>
      <x:c r="R55" s="148"/>
      <x:c r="S55" s="145"/>
    </x:row>
    <x:row r="56" ht="58" customHeight="1">
      <x:c r="A56" s="142" t="str">
        <x:v>WU-050</x:v>
      </x:c>
      <x:c r="B56" s="142" t="str">
        <x:v>REQ-WU-SCORE-HOMEWORK</x:v>
      </x:c>
      <x:c r="C56" s="142" t="str">
        <x:v>Score &amp; Homework</x:v>
      </x:c>
      <x:c r="D56" s="142" t="str">
        <x:v>จัดกลุ่มงาน</x:v>
      </x:c>
      <x:c r="E56" s="142" t="str">
        <x:v>Functional</x:v>
      </x:c>
      <x:c r="F56" s="142" t="str">
        <x:v>P1-High</x:v>
      </x:c>
      <x:c r="G56" s="139" t="str">
        <x:v>มีงานหลายกำหนดส่ง</x:v>
      </x:c>
      <x:c r="H56" s="139" t="str">
        <x:v>เปิด Homework</x:v>
      </x:c>
      <x:c r="I56" s="139" t="str">
        <x:v>พรุ่งนี้, 12 มี.ค., 16 มี.ค., ล่าช้า</x:v>
      </x:c>
      <x:c r="J56" s="139" t="str">
        <x:v>แสดงกลุ่มและลำดับตามวันเวลา; งานพรุ่งนี้ไม่หายเมื่อเข้าใหม่</x:v>
      </x:c>
      <x:c r="K56" s="139" t="str">
        <x:v>GET homework overview</x:v>
      </x:c>
      <x:c r="L56" s="139" t="str">
        <x:v>ทุกขนาดที่รองรับ</x:v>
      </x:c>
      <x:c r="M56" s="145"/>
      <x:c r="N56" s="145" t="str">
        <x:v>Not Run</x:v>
      </x:c>
      <x:c r="O56" s="145"/>
      <x:c r="P56" s="145"/>
      <x:c r="Q56" s="145"/>
      <x:c r="R56" s="148"/>
      <x:c r="S56" s="145"/>
    </x:row>
    <x:row r="57" ht="58" customHeight="1">
      <x:c r="A57" s="142" t="str">
        <x:v>WU-051</x:v>
      </x:c>
      <x:c r="B57" s="142" t="str">
        <x:v>REQ-WU-SCORE-HOMEWORK</x:v>
      </x:c>
      <x:c r="C57" s="142" t="str">
        <x:v>Score &amp; Homework</x:v>
      </x:c>
      <x:c r="D57" s="142" t="str">
        <x:v>รายละเอียดงาน</x:v>
      </x:c>
      <x:c r="E57" s="142" t="str">
        <x:v>Functional</x:v>
      </x:c>
      <x:c r="F57" s="142" t="str">
        <x:v>P1-High</x:v>
      </x:c>
      <x:c r="G57" s="139" t="str">
        <x:v>มีงานค้าง</x:v>
      </x:c>
      <x:c r="H57" s="139" t="str">
        <x:v>กดการ์ดงาน</x:v>
      </x:c>
      <x:c r="I57" s="139" t="str">
        <x:v>HOMEWORK_PENDING</x:v>
      </x:c>
      <x:c r="J57" s="139" t="str">
        <x:v>modal แสดงวิชา ประเภท ชื่อ กำหนดส่ง 24h และโน้ตครบ</x:v>
      </x:c>
      <x:c r="K57" s="139" t="str">
        <x:v>-</x:v>
      </x:c>
      <x:c r="L57" s="139" t="str">
        <x:v>ทุกขนาดที่รองรับ</x:v>
      </x:c>
      <x:c r="M57" s="145"/>
      <x:c r="N57" s="145" t="str">
        <x:v>Not Run</x:v>
      </x:c>
      <x:c r="O57" s="145"/>
      <x:c r="P57" s="145"/>
      <x:c r="Q57" s="145"/>
      <x:c r="R57" s="148"/>
      <x:c r="S57" s="145"/>
    </x:row>
    <x:row r="58" ht="58" customHeight="1">
      <x:c r="A58" s="142" t="str">
        <x:v>WU-052</x:v>
      </x:c>
      <x:c r="B58" s="142" t="str">
        <x:v>REQ-WU-SCORE-HOMEWORK</x:v>
      </x:c>
      <x:c r="C58" s="142" t="str">
        <x:v>Score &amp; Homework</x:v>
      </x:c>
      <x:c r="D58" s="142" t="str">
        <x:v>แก้ไขงาน</x:v>
      </x:c>
      <x:c r="E58" s="142" t="str">
        <x:v>End-to-End</x:v>
      </x:c>
      <x:c r="F58" s="142" t="str">
        <x:v>P0-Critical</x:v>
      </x:c>
      <x:c r="G58" s="139" t="str">
        <x:v>เปิด Homework details</x:v>
      </x:c>
      <x:c r="H58" s="139" t="str">
        <x:v>กดแก้ไข เปลี่ยนข้อความ/ประเภท/เวลา แล้ว Save</x:v>
      </x:c>
      <x:c r="I58" s="139" t="str">
        <x:v>project -&gt; assignment; 18:30</x:v>
      </x:c>
      <x:c r="J58" s="139" t="str">
        <x:v>ช่องแก้ไขได้ บันทึกแล้วการ์ดและกลุ่มอัปเดตโดยไม่สร้างรายการซ้ำ</x:v>
      </x:c>
      <x:c r="K58" s="139" t="str">
        <x:v>PUT homework</x:v>
      </x:c>
      <x:c r="L58" s="139" t="str">
        <x:v>ทุกขนาดที่รองรับ</x:v>
      </x:c>
      <x:c r="M58" s="145"/>
      <x:c r="N58" s="145" t="str">
        <x:v>Not Run</x:v>
      </x:c>
      <x:c r="O58" s="145"/>
      <x:c r="P58" s="145"/>
      <x:c r="Q58" s="145"/>
      <x:c r="R58" s="148"/>
      <x:c r="S58" s="145"/>
    </x:row>
    <x:row r="59" ht="58" customHeight="1">
      <x:c r="A59" s="142" t="str">
        <x:v>WU-053</x:v>
      </x:c>
      <x:c r="B59" s="142" t="str">
        <x:v>REQ-WU-SCORE-HOMEWORK</x:v>
      </x:c>
      <x:c r="C59" s="142" t="str">
        <x:v>Score &amp; Homework</x:v>
      </x:c>
      <x:c r="D59" s="142" t="str">
        <x:v>ลบงาน</x:v>
      </x:c>
      <x:c r="E59" s="142" t="str">
        <x:v>End-to-End</x:v>
      </x:c>
      <x:c r="F59" s="142" t="str">
        <x:v>P0-Critical</x:v>
      </x:c>
      <x:c r="G59" s="139" t="str">
        <x:v>เปิด Homework details</x:v>
      </x:c>
      <x:c r="H59" s="139" t="str">
        <x:v>กดลบและยืนยัน</x:v>
      </x:c>
      <x:c r="I59" s="139" t="str">
        <x:v>HOMEWORK_PENDING</x:v>
      </x:c>
      <x:c r="J59" s="139" t="str">
        <x:v>ลบจาก UI/Backend และกลุ่มว่างหายอย่างถูกต้อง</x:v>
      </x:c>
      <x:c r="K59" s="139" t="str">
        <x:v>DELETE homework</x:v>
      </x:c>
      <x:c r="L59" s="139" t="str">
        <x:v>ทุกขนาดที่รองรับ</x:v>
      </x:c>
      <x:c r="M59" s="145"/>
      <x:c r="N59" s="145" t="str">
        <x:v>Not Run</x:v>
      </x:c>
      <x:c r="O59" s="145"/>
      <x:c r="P59" s="145"/>
      <x:c r="Q59" s="145"/>
      <x:c r="R59" s="148"/>
      <x:c r="S59" s="145"/>
    </x:row>
    <x:row r="60" ht="58" customHeight="1">
      <x:c r="A60" s="142" t="str">
        <x:v>WU-054</x:v>
      </x:c>
      <x:c r="B60" s="142" t="str">
        <x:v>REQ-WU-SCORE-HOMEWORK</x:v>
      </x:c>
      <x:c r="C60" s="142" t="str">
        <x:v>Score &amp; Homework</x:v>
      </x:c>
      <x:c r="D60" s="142" t="str">
        <x:v>ส่งงาน</x:v>
      </x:c>
      <x:c r="E60" s="142" t="str">
        <x:v>End-to-End</x:v>
      </x:c>
      <x:c r="F60" s="142" t="str">
        <x:v>P0-Critical</x:v>
      </x:c>
      <x:c r="G60" s="139" t="str">
        <x:v>มีงานค้าง</x:v>
      </x:c>
      <x:c r="H60" s="139" t="str">
        <x:v>กด ส่ง ✓ และยืนยัน</x:v>
      </x:c>
      <x:c r="I60" s="139" t="str">
        <x:v>HOMEWORK_PENDING</x:v>
      </x:c>
      <x:c r="J60" s="139" t="str">
        <x:v>งานหายจาก Homework และปรากฏในวิชาที่ถูกต้องของ Score พร้อมประเภทเดิม</x:v>
      </x:c>
      <x:c r="K60" s="139" t="str">
        <x:v>PATCH finish homework; GET completed scores</x:v>
      </x:c>
      <x:c r="L60" s="139" t="str">
        <x:v>ทุกขนาดที่รองรับ</x:v>
      </x:c>
      <x:c r="M60" s="145"/>
      <x:c r="N60" s="145" t="str">
        <x:v>Not Run</x:v>
      </x:c>
      <x:c r="O60" s="145"/>
      <x:c r="P60" s="145"/>
      <x:c r="Q60" s="145"/>
      <x:c r="R60" s="148"/>
      <x:c r="S60" s="145"/>
    </x:row>
    <x:row r="61" ht="58" customHeight="1">
      <x:c r="A61" s="142" t="str">
        <x:v>WU-055</x:v>
      </x:c>
      <x:c r="B61" s="142" t="str">
        <x:v>REQ-WU-SCORE-HOMEWORK</x:v>
      </x:c>
      <x:c r="C61" s="142" t="str">
        <x:v>Score &amp; Homework</x:v>
      </x:c>
      <x:c r="D61" s="142" t="str">
        <x:v>สถานะส่งครบ</x:v>
      </x:c>
      <x:c r="E61" s="142" t="str">
        <x:v>Functional</x:v>
      </x:c>
      <x:c r="F61" s="142" t="str">
        <x:v>P1-High</x:v>
      </x:c>
      <x:c r="G61" s="139" t="str">
        <x:v>เคยมีงานและทุกงาน completed</x:v>
      </x:c>
      <x:c r="H61" s="139" t="str">
        <x:v>เปิด Homework</x:v>
      </x:c>
      <x:c r="I61" s="139" t="str">
        <x:v>TERM_ALL_COMPLETED</x:v>
      </x:c>
      <x:c r="J61" s="139" t="str">
        <x:v>แสดงสถานะส่งงานครบแล้ว; แตกต่างจากเทอมที่ไม่เคยมีงาน</x:v>
      </x:c>
      <x:c r="K61" s="139" t="str">
        <x:v>-</x:v>
      </x:c>
      <x:c r="L61" s="139" t="str">
        <x:v>ทุกขนาดที่รองรับ</x:v>
      </x:c>
      <x:c r="M61" s="145"/>
      <x:c r="N61" s="145" t="str">
        <x:v>Not Run</x:v>
      </x:c>
      <x:c r="O61" s="145"/>
      <x:c r="P61" s="145"/>
      <x:c r="Q61" s="145"/>
      <x:c r="R61" s="148"/>
      <x:c r="S61" s="145"/>
    </x:row>
    <x:row r="62" ht="58" customHeight="1">
      <x:c r="A62" s="142" t="str">
        <x:v>WU-056</x:v>
      </x:c>
      <x:c r="B62" s="142" t="str">
        <x:v>REQ-WU-SCORE-HOMEWORK</x:v>
      </x:c>
      <x:c r="C62" s="142" t="str">
        <x:v>Score &amp; Homework</x:v>
      </x:c>
      <x:c r="D62" s="142" t="str">
        <x:v>ตั้งเป้าหมายเกรด</x:v>
      </x:c>
      <x:c r="E62" s="142" t="str">
        <x:v>End-to-End</x:v>
      </x:c>
      <x:c r="F62" s="142" t="str">
        <x:v>P0-Critical</x:v>
      </x:c>
      <x:c r="G62" s="139" t="str">
        <x:v>มีวิชาและยังไม่มีเป้าหมาย</x:v>
      </x:c>
      <x:c r="H62" s="139" t="str">
        <x:v>เลือกเป้าหมายทุกวิชา อ่านคำเตือน แล้ว Save</x:v>
      </x:c>
      <x:c r="I62" s="139" t="str">
        <x:v>BI=B+, Numerical=A</x:v>
      </x:c>
      <x:c r="J62" s="139" t="str">
        <x:v>บันทึกได้ครั้งเดียว แสดงคะแนนที่ต้องทำใน GPA/รายวิชา และหลัง reload ยังอยู่</x:v>
      </x:c>
      <x:c r="K62" s="139" t="str">
        <x:v>POST grade goals</x:v>
      </x:c>
      <x:c r="L62" s="139" t="str">
        <x:v>ทุกขนาดที่รองรับ</x:v>
      </x:c>
      <x:c r="M62" s="145"/>
      <x:c r="N62" s="145" t="str">
        <x:v>Not Run</x:v>
      </x:c>
      <x:c r="O62" s="145"/>
      <x:c r="P62" s="145"/>
      <x:c r="Q62" s="145"/>
      <x:c r="R62" s="148"/>
      <x:c r="S62" s="145"/>
    </x:row>
    <x:row r="63" ht="58" customHeight="1">
      <x:c r="A63" s="142" t="str">
        <x:v>WU-057</x:v>
      </x:c>
      <x:c r="B63" s="142" t="str">
        <x:v>REQ-WU-SCORE-HOMEWORK</x:v>
      </x:c>
      <x:c r="C63" s="142" t="str">
        <x:v>Score &amp; Homework</x:v>
      </x:c>
      <x:c r="D63" s="142" t="str">
        <x:v>เป้าหมายแก้ไขไม่ได้</x:v>
      </x:c>
      <x:c r="E63" s="142" t="str">
        <x:v>Business Rule</x:v>
      </x:c>
      <x:c r="F63" s="142" t="str">
        <x:v>P0-Critical</x:v>
      </x:c>
      <x:c r="G63" s="139" t="str">
        <x:v>มีเป้าหมายบันทึกแล้ว</x:v>
      </x:c>
      <x:c r="H63" s="139" t="str">
        <x:v>เปิดหน้า Score และพยายามเปลี่ยน</x:v>
      </x:c>
      <x:c r="I63" s="139" t="str">
        <x:v>Saved targets</x:v>
      </x:c>
      <x:c r="J63" s="139" t="str">
        <x:v>ไม่มีวิธีแก้ค่าที่บันทึกแล้ว และคำอธิบายชัดเจน</x:v>
      </x:c>
      <x:c r="K63" s="139" t="str">
        <x:v>-</x:v>
      </x:c>
      <x:c r="L63" s="139" t="str">
        <x:v>ทุกขนาดที่รองรับ</x:v>
      </x:c>
      <x:c r="M63" s="145"/>
      <x:c r="N63" s="145" t="str">
        <x:v>Not Run</x:v>
      </x:c>
      <x:c r="O63" s="145"/>
      <x:c r="P63" s="145"/>
      <x:c r="Q63" s="145"/>
      <x:c r="R63" s="148"/>
      <x:c r="S63" s="145"/>
    </x:row>
    <x:row r="64" ht="58" customHeight="1">
      <x:c r="A64" s="142" t="str">
        <x:v>WU-058</x:v>
      </x:c>
      <x:c r="B64" s="142" t="str">
        <x:v>REQ-WU-SCORE-HOMEWORK</x:v>
      </x:c>
      <x:c r="C64" s="142" t="str">
        <x:v>Score &amp; Homework</x:v>
      </x:c>
      <x:c r="D64" s="142" t="str">
        <x:v>เกณฑ์เกรด</x:v>
      </x:c>
      <x:c r="E64" s="142" t="str">
        <x:v>Calculation</x:v>
      </x:c>
      <x:c r="F64" s="142" t="str">
        <x:v>P0-Critical</x:v>
      </x:c>
      <x:c r="G64" s="139" t="str">
        <x:v>มีคะแนนสะสม</x:v>
      </x:c>
      <x:c r="H64" s="139" t="str">
        <x:v>ตรวจ boundary ทุกเกรด</x:v>
      </x:c>
      <x:c r="I64" s="139" t="str">
        <x:v>80=A,75=B+,70=B,65=C+,60=C,55=D+,50=D,49.99=F</x:v>
      </x:c>
      <x:c r="J64" s="139" t="str">
        <x:v>เกรดที่ได้ตรงเกณฑ์ทุกค่าทั้งการ์ดและภาพรวม</x:v>
      </x:c>
      <x:c r="K64" s="139" t="str">
        <x:v>-</x:v>
      </x:c>
      <x:c r="L64" s="139" t="str">
        <x:v>ทุกขนาดที่รองรับ</x:v>
      </x:c>
      <x:c r="M64" s="145"/>
      <x:c r="N64" s="145" t="str">
        <x:v>Not Run</x:v>
      </x:c>
      <x:c r="O64" s="145"/>
      <x:c r="P64" s="145"/>
      <x:c r="Q64" s="145"/>
      <x:c r="R64" s="148"/>
      <x:c r="S64" s="145"/>
    </x:row>
    <x:row r="65" ht="58" customHeight="1">
      <x:c r="A65" s="142" t="str">
        <x:v>WU-059</x:v>
      </x:c>
      <x:c r="B65" s="142" t="str">
        <x:v>REQ-WU-SCORE-HOMEWORK</x:v>
      </x:c>
      <x:c r="C65" s="142" t="str">
        <x:v>Score &amp; Homework</x:v>
      </x:c>
      <x:c r="D65" s="142" t="str">
        <x:v>คะแนนรวมและหลอดเปอร์เซ็นต์</x:v>
      </x:c>
      <x:c r="E65" s="142" t="str">
        <x:v>Calculation</x:v>
      </x:c>
      <x:c r="F65" s="142" t="str">
        <x:v>P0-Critical</x:v>
      </x:c>
      <x:c r="G65" s="139" t="str">
        <x:v>มีงาน completed หลายชิ้น</x:v>
      </x:c>
      <x:c r="H65" s="139" t="str">
        <x:v>กรอกคะแนนแล้วตรวจรวม</x:v>
      </x:c>
      <x:c r="I65" s="139" t="str">
        <x:v>20/30 + 40/50</x:v>
      </x:c>
      <x:c r="J65" s="139" t="str">
        <x:v>แสดงคะแนนสะสมเป็น 60/100; เกรดปัจจุบัน เป้าหมาย และหลอดเปอร์เซ็นต์สอดคล้องกัน</x:v>
      </x:c>
      <x:c r="K65" s="139" t="str">
        <x:v>-</x:v>
      </x:c>
      <x:c r="L65" s="139" t="str">
        <x:v>ทุกขนาดที่รองรับ</x:v>
      </x:c>
      <x:c r="M65" s="145"/>
      <x:c r="N65" s="145" t="str">
        <x:v>Not Run</x:v>
      </x:c>
      <x:c r="O65" s="145"/>
      <x:c r="P65" s="145"/>
      <x:c r="Q65" s="145"/>
      <x:c r="R65" s="148"/>
      <x:c r="S65" s="145"/>
    </x:row>
    <x:row r="66" ht="58" customHeight="1">
      <x:c r="A66" s="142" t="str">
        <x:v>WU-060</x:v>
      </x:c>
      <x:c r="B66" s="142" t="str">
        <x:v>REQ-WU-SCORE-HOMEWORK</x:v>
      </x:c>
      <x:c r="C66" s="142" t="str">
        <x:v>Score &amp; Homework</x:v>
      </x:c>
      <x:c r="D66" s="142" t="str">
        <x:v>กรอกคะแนนไม่เกิน 100</x:v>
      </x:c>
      <x:c r="E66" s="142" t="str">
        <x:v>Validation</x:v>
      </x:c>
      <x:c r="F66" s="142" t="str">
        <x:v>P0-Critical</x:v>
      </x:c>
      <x:c r="G66" s="139" t="str">
        <x:v>คะแนนสะสมเดิม 90</x:v>
      </x:c>
      <x:c r="H66" s="139" t="str">
        <x:v>กรอกงานใหม่ 15 คะแนน หรือคะแนนติดลบ/เกินเต็ม</x:v>
      </x:c>
      <x:c r="I66" s="139" t="str">
        <x:v>15, -1, 11/10</x:v>
      </x:c>
      <x:c r="J66" s="139" t="str">
        <x:v>ปฏิเสธค่าที่ทำให้สะสมเกิน 100 หรืออยู่นอกช่วง พร้อมข้อความชัดเจน</x:v>
      </x:c>
      <x:c r="K66" s="139" t="str">
        <x:v>POST workload score</x:v>
      </x:c>
      <x:c r="L66" s="139" t="str">
        <x:v>ทุกขนาดที่รองรับ</x:v>
      </x:c>
      <x:c r="M66" s="145"/>
      <x:c r="N66" s="145" t="str">
        <x:v>Not Run</x:v>
      </x:c>
      <x:c r="O66" s="145"/>
      <x:c r="P66" s="145"/>
      <x:c r="Q66" s="145"/>
      <x:c r="R66" s="148"/>
      <x:c r="S66" s="145"/>
    </x:row>
    <x:row r="67" ht="58" customHeight="1">
      <x:c r="A67" s="142" t="str">
        <x:v>WU-061</x:v>
      </x:c>
      <x:c r="B67" s="142" t="str">
        <x:v>REQ-WU-SCORE-HOMEWORK</x:v>
      </x:c>
      <x:c r="C67" s="142" t="str">
        <x:v>Score &amp; Homework</x:v>
      </x:c>
      <x:c r="D67" s="142" t="str">
        <x:v>Subject tabs</x:v>
      </x:c>
      <x:c r="E67" s="142" t="str">
        <x:v>UI/UX</x:v>
      </x:c>
      <x:c r="F67" s="142" t="str">
        <x:v>P1-High</x:v>
      </x:c>
      <x:c r="G67" s="139" t="str">
        <x:v>มีหลายวิชา</x:v>
      </x:c>
      <x:c r="H67" s="139" t="str">
        <x:v>เปลี่ยนแท็บและตรวจการซ้อนทับ</x:v>
      </x:c>
      <x:c r="I67" s="139" t="str">
        <x:v>4+ subjects</x:v>
      </x:c>
      <x:c r="J67" s="139" t="str">
        <x:v>แท็บชิดด้านหน้า ซ้อนเหมือน Main active ชัด และตารางเปลี่ยนตามวิชา</x:v>
      </x:c>
      <x:c r="K67" s="139" t="str">
        <x:v>-</x:v>
      </x:c>
      <x:c r="L67" s="139" t="str">
        <x:v>ทุกขนาดที่รองรับ</x:v>
      </x:c>
      <x:c r="M67" s="145"/>
      <x:c r="N67" s="145" t="str">
        <x:v>Not Run</x:v>
      </x:c>
      <x:c r="O67" s="145"/>
      <x:c r="P67" s="145"/>
      <x:c r="Q67" s="145"/>
      <x:c r="R67" s="148"/>
      <x:c r="S67" s="145"/>
    </x:row>
    <x:row r="68" ht="58" customHeight="1">
      <x:c r="A68" s="142" t="str">
        <x:v>WU-062</x:v>
      </x:c>
      <x:c r="B68" s="142" t="str">
        <x:v>REQ-WU-SCORE-HOMEWORK</x:v>
      </x:c>
      <x:c r="C68" s="142" t="str">
        <x:v>Score &amp; Homework</x:v>
      </x:c>
      <x:c r="D68" s="142" t="str">
        <x:v>ข้อผิดพลาด API</x:v>
      </x:c>
      <x:c r="E68" s="142" t="str">
        <x:v>Recovery</x:v>
      </x:c>
      <x:c r="F68" s="142" t="str">
        <x:v>P1-High</x:v>
      </x:c>
      <x:c r="G68" s="139" t="str">
        <x:v>จำลองโหลด/บันทึกล้มเหลว</x:v>
      </x:c>
      <x:c r="H68" s="139" t="str">
        <x:v>เปิดหน้า ลองกรอกคะแนน/เพิ่มงาน แล้ว Retry</x:v>
      </x:c>
      <x:c r="I68" s="139" t="str">
        <x:v>HTTP 401/500/timeout</x:v>
      </x:c>
      <x:c r="J68" s="139" t="str">
        <x:v>แยก no-term จาก error ได้ ไม่สูญข้อมูลระหว่าง retry และไม่ส่งซ้ำ</x:v>
      </x:c>
      <x:c r="K68" s="139" t="str">
        <x:v>-</x:v>
      </x:c>
      <x:c r="L68" s="139" t="str">
        <x:v>ทุกขนาดที่รองรับ</x:v>
      </x:c>
      <x:c r="M68" s="145"/>
      <x:c r="N68" s="145" t="str">
        <x:v>Not Run</x:v>
      </x:c>
      <x:c r="O68" s="145"/>
      <x:c r="P68" s="145"/>
      <x:c r="Q68" s="145"/>
      <x:c r="R68" s="148"/>
      <x:c r="S68" s="145"/>
    </x:row>
    <x:row r="69" ht="58" customHeight="1">
      <x:c r="A69" s="142" t="str">
        <x:v>WU-063</x:v>
      </x:c>
      <x:c r="B69" s="142" t="str">
        <x:v>REQ-WU-TIMER</x:v>
      </x:c>
      <x:c r="C69" s="142" t="str">
        <x:v>Timer</x:v>
      </x:c>
      <x:c r="D69" s="142" t="str">
        <x:v>ไม่มีเทอม</x:v>
      </x:c>
      <x:c r="E69" s="142" t="str">
        <x:v>Functional</x:v>
      </x:c>
      <x:c r="F69" s="142" t="str">
        <x:v>P0-Critical</x:v>
      </x:c>
      <x:c r="G69" s="139" t="str">
        <x:v>ไม่มี current term</x:v>
      </x:c>
      <x:c r="H69" s="139" t="str">
        <x:v>เปิด Timer</x:v>
      </x:c>
      <x:c r="I69" s="139" t="str">
        <x:v>NO_CURRENT_TERM</x:v>
      </x:c>
      <x:c r="J69" s="139" t="str">
        <x:v>แสดง shared no-term state กึ่งกลางฝั่งซ้าย ไม่แสดง internal server error</x:v>
      </x:c>
      <x:c r="K69" s="139" t="str">
        <x:v>-</x:v>
      </x:c>
      <x:c r="L69" s="139" t="str">
        <x:v>ทุกขนาดที่รองรับ</x:v>
      </x:c>
      <x:c r="M69" s="145"/>
      <x:c r="N69" s="145" t="str">
        <x:v>Not Run</x:v>
      </x:c>
      <x:c r="O69" s="145"/>
      <x:c r="P69" s="145"/>
      <x:c r="Q69" s="145"/>
      <x:c r="R69" s="148"/>
      <x:c r="S69" s="145"/>
    </x:row>
    <x:row r="70" ht="58" customHeight="1">
      <x:c r="A70" s="142" t="str">
        <x:v>WU-064</x:v>
      </x:c>
      <x:c r="B70" s="142" t="str">
        <x:v>REQ-WU-TIMER</x:v>
      </x:c>
      <x:c r="C70" s="142" t="str">
        <x:v>Timer</x:v>
      </x:c>
      <x:c r="D70" s="142" t="str">
        <x:v>โหลด Setup</x:v>
      </x:c>
      <x:c r="E70" s="142" t="str">
        <x:v>Integration</x:v>
      </x:c>
      <x:c r="F70" s="142" t="str">
        <x:v>P0-Critical</x:v>
      </x:c>
      <x:c r="G70" s="139" t="str">
        <x:v>มี current term และ schedule_type_id=1</x:v>
      </x:c>
      <x:c r="H70" s="139" t="str">
        <x:v>เปิด Timer</x:v>
      </x:c>
      <x:c r="I70" s="139" t="str">
        <x:v>BI + study_types</x:v>
      </x:c>
      <x:c r="J70" s="139" t="str">
        <x:v>แสดงวิชา วิธีทบทวน สถิติ และประวัติจากข้อมูลจริง</x:v>
      </x:c>
      <x:c r="K70" s="139" t="str">
        <x:v>GET timer setup/dashboard</x:v>
      </x:c>
      <x:c r="L70" s="139" t="str">
        <x:v>ทุกขนาดที่รองรับ</x:v>
      </x:c>
      <x:c r="M70" s="145"/>
      <x:c r="N70" s="145" t="str">
        <x:v>Not Run</x:v>
      </x:c>
      <x:c r="O70" s="145"/>
      <x:c r="P70" s="145"/>
      <x:c r="Q70" s="145"/>
      <x:c r="R70" s="148"/>
      <x:c r="S70" s="145"/>
    </x:row>
    <x:row r="71" ht="58" customHeight="1">
      <x:c r="A71" s="142" t="str">
        <x:v>WU-065</x:v>
      </x:c>
      <x:c r="B71" s="142" t="str">
        <x:v>REQ-WU-TIMER</x:v>
      </x:c>
      <x:c r="C71" s="142" t="str">
        <x:v>Timer</x:v>
      </x:c>
      <x:c r="D71" s="142" t="str">
        <x:v>Validation ก่อนเริ่ม</x:v>
      </x:c>
      <x:c r="E71" s="142" t="str">
        <x:v>Validation</x:v>
      </x:c>
      <x:c r="F71" s="142" t="str">
        <x:v>P1-High</x:v>
      </x:c>
      <x:c r="G71" s="139" t="str">
        <x:v>ยังไม่เลือกวิชา/วิธี</x:v>
      </x:c>
      <x:c r="H71" s="139" t="str">
        <x:v>กด Start</x:v>
      </x:c>
      <x:c r="I71" s="139" t="str">
        <x:v>ค่าว่าง</x:v>
      </x:c>
      <x:c r="J71" s="139" t="str">
        <x:v>แจ้งช่องที่ต้องเลือกและไม่สร้าง session</x:v>
      </x:c>
      <x:c r="K71" s="139" t="str">
        <x:v>POST study session</x:v>
      </x:c>
      <x:c r="L71" s="139" t="str">
        <x:v>ทุกขนาดที่รองรับ</x:v>
      </x:c>
      <x:c r="M71" s="145"/>
      <x:c r="N71" s="145" t="str">
        <x:v>Not Run</x:v>
      </x:c>
      <x:c r="O71" s="145"/>
      <x:c r="P71" s="145"/>
      <x:c r="Q71" s="145"/>
      <x:c r="R71" s="148"/>
      <x:c r="S71" s="145"/>
    </x:row>
    <x:row r="72" ht="58" customHeight="1">
      <x:c r="A72" s="142" t="str">
        <x:v>WU-066</x:v>
      </x:c>
      <x:c r="B72" s="142" t="str">
        <x:v>REQ-WU-TIMER</x:v>
      </x:c>
      <x:c r="C72" s="142" t="str">
        <x:v>Timer</x:v>
      </x:c>
      <x:c r="D72" s="142" t="str">
        <x:v>เริ่มจับเวลา</x:v>
      </x:c>
      <x:c r="E72" s="142" t="str">
        <x:v>End-to-End</x:v>
      </x:c>
      <x:c r="F72" s="142" t="str">
        <x:v>P0-Critical</x:v>
      </x:c>
      <x:c r="G72" s="139" t="str">
        <x:v>เลือกข้อมูลครบ</x:v>
      </x:c>
      <x:c r="H72" s="139" t="str">
        <x:v>กด Start และรอเวลาเดิน</x:v>
      </x:c>
      <x:c r="I72" s="139" t="str">
        <x:v>BI + Flashcards</x:v>
      </x:c>
      <x:c r="J72" s="139" t="str">
        <x:v>สร้าง session 1 รายการ เวลาเดินต่อเนื่องและปุ่มเปลี่ยนสถานะ</x:v>
      </x:c>
      <x:c r="K72" s="139" t="str">
        <x:v>POST study session</x:v>
      </x:c>
      <x:c r="L72" s="139" t="str">
        <x:v>ทุกขนาดที่รองรับ</x:v>
      </x:c>
      <x:c r="M72" s="145"/>
      <x:c r="N72" s="145" t="str">
        <x:v>Not Run</x:v>
      </x:c>
      <x:c r="O72" s="145"/>
      <x:c r="P72" s="145"/>
      <x:c r="Q72" s="145"/>
      <x:c r="R72" s="148"/>
      <x:c r="S72" s="145"/>
    </x:row>
    <x:row r="73" ht="58" customHeight="1">
      <x:c r="A73" s="142" t="str">
        <x:v>WU-067</x:v>
      </x:c>
      <x:c r="B73" s="142" t="str">
        <x:v>REQ-WU-TIMER</x:v>
      </x:c>
      <x:c r="C73" s="142" t="str">
        <x:v>Timer</x:v>
      </x:c>
      <x:c r="D73" s="142" t="str">
        <x:v>Pause/Resume</x:v>
      </x:c>
      <x:c r="E73" s="142" t="str">
        <x:v>End-to-End</x:v>
      </x:c>
      <x:c r="F73" s="142" t="str">
        <x:v>P0-Critical</x:v>
      </x:c>
      <x:c r="G73" s="139" t="str">
        <x:v>มี session running</x:v>
      </x:c>
      <x:c r="H73" s="139" t="str">
        <x:v>กด Pause รอ แล้ว Resume</x:v>
      </x:c>
      <x:c r="I73" s="139" t="str">
        <x:v>Active session</x:v>
      </x:c>
      <x:c r="J73" s="139" t="str">
        <x:v>เวลาหยุดขณะ pause และเดินต่อโดยไม่ทบเวลาพัก; version อัปเดต</x:v>
      </x:c>
      <x:c r="K73" s="139" t="str">
        <x:v>PATCH pause/resume</x:v>
      </x:c>
      <x:c r="L73" s="139" t="str">
        <x:v>ทุกขนาดที่รองรับ</x:v>
      </x:c>
      <x:c r="M73" s="145"/>
      <x:c r="N73" s="145" t="str">
        <x:v>Not Run</x:v>
      </x:c>
      <x:c r="O73" s="145"/>
      <x:c r="P73" s="145"/>
      <x:c r="Q73" s="145"/>
      <x:c r="R73" s="148"/>
      <x:c r="S73" s="145"/>
    </x:row>
    <x:row r="74" ht="58" customHeight="1">
      <x:c r="A74" s="142" t="str">
        <x:v>WU-068</x:v>
      </x:c>
      <x:c r="B74" s="142" t="str">
        <x:v>REQ-WU-TIMER</x:v>
      </x:c>
      <x:c r="C74" s="142" t="str">
        <x:v>Timer</x:v>
      </x:c>
      <x:c r="D74" s="142" t="str">
        <x:v>Finish session</x:v>
      </x:c>
      <x:c r="E74" s="142" t="str">
        <x:v>End-to-End</x:v>
      </x:c>
      <x:c r="F74" s="142" t="str">
        <x:v>P0-Critical</x:v>
      </x:c>
      <x:c r="G74" s="139" t="str">
        <x:v>มี session running/paused</x:v>
      </x:c>
      <x:c r="H74" s="139" t="str">
        <x:v>กด Finish ยืนยันใน modal</x:v>
      </x:c>
      <x:c r="I74" s="139" t="str">
        <x:v>Active session</x:v>
      </x:c>
      <x:c r="J74" s="139" t="str">
        <x:v>จบครั้งเดียว เพิ่มสถิติ/ประวัติ และ reset timer</x:v>
      </x:c>
      <x:c r="K74" s="139" t="str">
        <x:v>PATCH finish; GET dashboard</x:v>
      </x:c>
      <x:c r="L74" s="139" t="str">
        <x:v>ทุกขนาดที่รองรับ</x:v>
      </x:c>
      <x:c r="M74" s="145"/>
      <x:c r="N74" s="145" t="str">
        <x:v>Not Run</x:v>
      </x:c>
      <x:c r="O74" s="145"/>
      <x:c r="P74" s="145"/>
      <x:c r="Q74" s="145"/>
      <x:c r="R74" s="148"/>
      <x:c r="S74" s="145"/>
    </x:row>
    <x:row r="75" ht="58" customHeight="1">
      <x:c r="A75" s="142" t="str">
        <x:v>WU-069</x:v>
      </x:c>
      <x:c r="B75" s="142" t="str">
        <x:v>REQ-WU-TIMER</x:v>
      </x:c>
      <x:c r="C75" s="142" t="str">
        <x:v>Timer</x:v>
      </x:c>
      <x:c r="D75" s="142" t="str">
        <x:v>Heartbeat</x:v>
      </x:c>
      <x:c r="E75" s="142" t="str">
        <x:v>Reliability</x:v>
      </x:c>
      <x:c r="F75" s="142" t="str">
        <x:v>P1-High</x:v>
      </x:c>
      <x:c r="G75" s="139" t="str">
        <x:v>มี session running</x:v>
      </x:c>
      <x:c r="H75" s="139" t="str">
        <x:v>ปล่อย timer ทำงานและตรวจ request เป็นช่วง</x:v>
      </x:c>
      <x:c r="I75" s="139" t="str">
        <x:v>Stable network</x:v>
      </x:c>
      <x:c r="J75" s="139" t="str">
        <x:v>heartbeat ไม่สร้าง session ซ้ำและเวลาระหว่าง client/server ใกล้เคียง</x:v>
      </x:c>
      <x:c r="K75" s="139" t="str">
        <x:v>PATCH heartbeat</x:v>
      </x:c>
      <x:c r="L75" s="139" t="str">
        <x:v>ทุกขนาดที่รองรับ</x:v>
      </x:c>
      <x:c r="M75" s="145"/>
      <x:c r="N75" s="145" t="str">
        <x:v>Not Run</x:v>
      </x:c>
      <x:c r="O75" s="145"/>
      <x:c r="P75" s="145"/>
      <x:c r="Q75" s="145"/>
      <x:c r="R75" s="148"/>
      <x:c r="S75" s="145"/>
    </x:row>
    <x:row r="76" ht="58" customHeight="1">
      <x:c r="A76" s="142" t="str">
        <x:v>WU-070</x:v>
      </x:c>
      <x:c r="B76" s="142" t="str">
        <x:v>REQ-WU-TIMER</x:v>
      </x:c>
      <x:c r="C76" s="142" t="str">
        <x:v>Timer</x:v>
      </x:c>
      <x:c r="D76" s="142" t="str">
        <x:v>กู้คืน session</x:v>
      </x:c>
      <x:c r="E76" s="142" t="str">
        <x:v>Recovery</x:v>
      </x:c>
      <x:c r="F76" s="142" t="str">
        <x:v>P0-Critical</x:v>
      </x:c>
      <x:c r="G76" s="139" t="str">
        <x:v>มี active session จากแท็บ/อุปกรณ์ก่อนหน้า</x:v>
      </x:c>
      <x:c r="H76" s="139" t="str">
        <x:v>เปิด Timer ใหม่ เลือก Continue/Finish ตาม modal</x:v>
      </x:c>
      <x:c r="I76" s="139" t="str">
        <x:v>ACTIVE_SESSION</x:v>
      </x:c>
      <x:c r="J76" s="139" t="str">
        <x:v>แสดงข้อมูล session ถูกต้องและดำเนินต่อ/จบตามการเลือก</x:v>
      </x:c>
      <x:c r="K76" s="139" t="str">
        <x:v>GET active session; PATCH recover</x:v>
      </x:c>
      <x:c r="L76" s="139" t="str">
        <x:v>ทุกขนาดที่รองรับ</x:v>
      </x:c>
      <x:c r="M76" s="145"/>
      <x:c r="N76" s="145" t="str">
        <x:v>Not Run</x:v>
      </x:c>
      <x:c r="O76" s="145"/>
      <x:c r="P76" s="145"/>
      <x:c r="Q76" s="145"/>
      <x:c r="R76" s="148"/>
      <x:c r="S76" s="145"/>
    </x:row>
    <x:row r="77" ht="58" customHeight="1">
      <x:c r="A77" s="142" t="str">
        <x:v>WU-071</x:v>
      </x:c>
      <x:c r="B77" s="142" t="str">
        <x:v>REQ-WU-TIMER</x:v>
      </x:c>
      <x:c r="C77" s="142" t="str">
        <x:v>Timer</x:v>
      </x:c>
      <x:c r="D77" s="142" t="str">
        <x:v>Version conflict/หลายช่องทาง</x:v>
      </x:c>
      <x:c r="E77" s="142" t="str">
        <x:v>Concurrency</x:v>
      </x:c>
      <x:c r="F77" s="142" t="str">
        <x:v>P0-Critical</x:v>
      </x:c>
      <x:c r="G77" s="139" t="str">
        <x:v>เปิด session เดียวกัน 2 ช่องทาง</x:v>
      </x:c>
      <x:c r="H77" s="139" t="str">
        <x:v>Pause/Resume สลับจากสองช่องทาง</x:v>
      </x:c>
      <x:c r="I77" s="139" t="str">
        <x:v>Stale version</x:v>
      </x:c>
      <x:c r="J77" s="139" t="str">
        <x:v>Backend ปฏิเสธ version เก่า UI โหลดสถานะล่าสุด และไม่คำนวณเวลาซ้ำ</x:v>
      </x:c>
      <x:c r="K77" s="139" t="str">
        <x:v>-</x:v>
      </x:c>
      <x:c r="L77" s="139" t="str">
        <x:v>ทุกขนาดที่รองรับ</x:v>
      </x:c>
      <x:c r="M77" s="145"/>
      <x:c r="N77" s="145" t="str">
        <x:v>Not Run</x:v>
      </x:c>
      <x:c r="O77" s="145"/>
      <x:c r="P77" s="145"/>
      <x:c r="Q77" s="145"/>
      <x:c r="R77" s="148"/>
      <x:c r="S77" s="145"/>
    </x:row>
    <x:row r="78" ht="58" customHeight="1">
      <x:c r="A78" s="142" t="str">
        <x:v>WU-072</x:v>
      </x:c>
      <x:c r="B78" s="142" t="str">
        <x:v>REQ-WU-TIMER</x:v>
      </x:c>
      <x:c r="C78" s="142" t="str">
        <x:v>Timer</x:v>
      </x:c>
      <x:c r="D78" s="142" t="str">
        <x:v>สถิติและประวัติ</x:v>
      </x:c>
      <x:c r="E78" s="142" t="str">
        <x:v>Calculation</x:v>
      </x:c>
      <x:c r="F78" s="142" t="str">
        <x:v>P1-High</x:v>
      </x:c>
      <x:c r="G78" s="139" t="str">
        <x:v>มีหลาย session</x:v>
      </x:c>
      <x:c r="H78" s="139" t="str">
        <x:v>ตรวจยอดวันนี้/สัปดาห์/รวมและรายการประวัติ</x:v>
      </x:c>
      <x:c r="I78" s="139" t="str">
        <x:v>Sessions 25,35,60 นาที</x:v>
      </x:c>
      <x:c r="J78" s="139" t="str">
        <x:v>ผลรวม/หน่วย/วันเวลา 24h ถูกต้องและตรง Backend</x:v>
      </x:c>
      <x:c r="K78" s="139" t="str">
        <x:v>-</x:v>
      </x:c>
      <x:c r="L78" s="139" t="str">
        <x:v>ทุกขนาดที่รองรับ</x:v>
      </x:c>
      <x:c r="M78" s="145"/>
      <x:c r="N78" s="145" t="str">
        <x:v>Not Run</x:v>
      </x:c>
      <x:c r="O78" s="145"/>
      <x:c r="P78" s="145"/>
      <x:c r="Q78" s="145"/>
      <x:c r="R78" s="148"/>
      <x:c r="S78" s="145"/>
    </x:row>
    <x:row r="79" ht="58" customHeight="1">
      <x:c r="A79" s="142" t="str">
        <x:v>WU-073</x:v>
      </x:c>
      <x:c r="B79" s="142" t="str">
        <x:v>REQ-WU-TIMER</x:v>
      </x:c>
      <x:c r="C79" s="142" t="str">
        <x:v>Timer</x:v>
      </x:c>
      <x:c r="D79" s="142" t="str">
        <x:v>ออกหน้าและกลับมา</x:v>
      </x:c>
      <x:c r="E79" s="142" t="str">
        <x:v>Navigation</x:v>
      </x:c>
      <x:c r="F79" s="142" t="str">
        <x:v>P1-High</x:v>
      </x:c>
      <x:c r="G79" s="139" t="str">
        <x:v>timer กำลังเดิน</x:v>
      </x:c>
      <x:c r="H79" s="139" t="str">
        <x:v>ไป Main แล้วกลับ Timer</x:v>
      </x:c>
      <x:c r="I79" s="139" t="str">
        <x:v>Running session</x:v>
      </x:c>
      <x:c r="J79" s="139" t="str">
        <x:v>session ยังทำงานตามเวลาจริง ไม่ reset และแสดง active tab ถูกต้อง</x:v>
      </x:c>
      <x:c r="K79" s="139" t="str">
        <x:v>-</x:v>
      </x:c>
      <x:c r="L79" s="139" t="str">
        <x:v>ทุกขนาดที่รองรับ</x:v>
      </x:c>
      <x:c r="M79" s="145"/>
      <x:c r="N79" s="145" t="str">
        <x:v>Not Run</x:v>
      </x:c>
      <x:c r="O79" s="145"/>
      <x:c r="P79" s="145"/>
      <x:c r="Q79" s="145"/>
      <x:c r="R79" s="148"/>
      <x:c r="S79" s="145"/>
    </x:row>
    <x:row r="80" ht="58" customHeight="1">
      <x:c r="A80" s="142" t="str">
        <x:v>WU-074</x:v>
      </x:c>
      <x:c r="B80" s="142" t="str">
        <x:v>REQ-WU-TIMER</x:v>
      </x:c>
      <x:c r="C80" s="142" t="str">
        <x:v>Timer</x:v>
      </x:c>
      <x:c r="D80" s="142" t="str">
        <x:v>Responsive/Modal</x:v>
      </x:c>
      <x:c r="E80" s="142" t="str">
        <x:v>Compatibility</x:v>
      </x:c>
      <x:c r="F80" s="142" t="str">
        <x:v>P2-Medium</x:v>
      </x:c>
      <x:c r="G80" s="139" t="str">
        <x:v>มีข้อมูลยาว</x:v>
      </x:c>
      <x:c r="H80" s="139" t="str">
        <x:v>ทดสอบ viewport หลายขนาดและเปิดทุก modal</x:v>
      </x:c>
      <x:c r="I80" s="139" t="str">
        <x:v>Laptop/Tablet</x:v>
      </x:c>
      <x:c r="J80" s="139" t="str">
        <x:v>เนื้อหา scroll ได้ ปุ่มเข้าถึงได้ และ modal ไม่ถูกสันสมุดบัง</x:v>
      </x:c>
      <x:c r="K80" s="139" t="str">
        <x:v>-</x:v>
      </x:c>
      <x:c r="L80" s="139" t="str">
        <x:v>ทุกขนาดที่รองรับ</x:v>
      </x:c>
      <x:c r="M80" s="145"/>
      <x:c r="N80" s="145" t="str">
        <x:v>Not Run</x:v>
      </x:c>
      <x:c r="O80" s="145"/>
      <x:c r="P80" s="145"/>
      <x:c r="Q80" s="145"/>
      <x:c r="R80" s="148"/>
      <x:c r="S80" s="145"/>
    </x:row>
    <x:row r="81" ht="58" customHeight="1">
      <x:c r="A81" s="142" t="str">
        <x:v>WU-075</x:v>
      </x:c>
      <x:c r="B81" s="142" t="str">
        <x:v>REQ-WU-TEST</x:v>
      </x:c>
      <x:c r="C81" s="142" t="str">
        <x:v>Test</x:v>
      </x:c>
      <x:c r="D81" s="142" t="str">
        <x:v>ไม่มีเทอม</x:v>
      </x:c>
      <x:c r="E81" s="142" t="str">
        <x:v>Functional</x:v>
      </x:c>
      <x:c r="F81" s="142" t="str">
        <x:v>P0-Critical</x:v>
      </x:c>
      <x:c r="G81" s="139" t="str">
        <x:v>ไม่มี current term</x:v>
      </x:c>
      <x:c r="H81" s="139" t="str">
        <x:v>เปิด Test</x:v>
      </x:c>
      <x:c r="I81" s="139" t="str">
        <x:v>NO_CURRENT_TERM</x:v>
      </x:c>
      <x:c r="J81" s="139" t="str">
        <x:v>แสดง shared no-term state เหมือน Score/Timer และไม่ขึ้น connection error</x:v>
      </x:c>
      <x:c r="K81" s="139" t="str">
        <x:v>-</x:v>
      </x:c>
      <x:c r="L81" s="139" t="str">
        <x:v>ทุกขนาดที่รองรับ</x:v>
      </x:c>
      <x:c r="M81" s="145"/>
      <x:c r="N81" s="145" t="str">
        <x:v>Not Run</x:v>
      </x:c>
      <x:c r="O81" s="145"/>
      <x:c r="P81" s="145"/>
      <x:c r="Q81" s="145"/>
      <x:c r="R81" s="148"/>
      <x:c r="S81" s="145"/>
    </x:row>
    <x:row r="82" ht="58" customHeight="1">
      <x:c r="A82" s="142" t="str">
        <x:v>WU-076</x:v>
      </x:c>
      <x:c r="B82" s="142" t="str">
        <x:v>REQ-WU-TEST</x:v>
      </x:c>
      <x:c r="C82" s="142" t="str">
        <x:v>Test</x:v>
      </x:c>
      <x:c r="D82" s="142" t="str">
        <x:v>โหลดหน้า Test</x:v>
      </x:c>
      <x:c r="E82" s="142" t="str">
        <x:v>Integration</x:v>
      </x:c>
      <x:c r="F82" s="142" t="str">
        <x:v>P0-Critical</x:v>
      </x:c>
      <x:c r="G82" s="139" t="str">
        <x:v>มี current term</x:v>
      </x:c>
      <x:c r="H82" s="139" t="str">
        <x:v>เปิด Test</x:v>
      </x:c>
      <x:c r="I82" s="139" t="str">
        <x:v>EXAMS+HISTORY+INSIGHTS</x:v>
      </x:c>
      <x:c r="J82" s="139" t="str">
        <x:v>Test, Feedback, History โหลดแยกกันและแสดงสถานะว่าง/ผิดพลาดได้ถูกต้อง</x:v>
      </x:c>
      <x:c r="K82" s="139" t="str">
        <x:v>GET exams/history/insights</x:v>
      </x:c>
      <x:c r="L82" s="139" t="str">
        <x:v>ทุกขนาดที่รองรับ</x:v>
      </x:c>
      <x:c r="M82" s="145"/>
      <x:c r="N82" s="145" t="str">
        <x:v>Not Run</x:v>
      </x:c>
      <x:c r="O82" s="145"/>
      <x:c r="P82" s="145"/>
      <x:c r="Q82" s="145"/>
      <x:c r="R82" s="148"/>
      <x:c r="S82" s="145"/>
    </x:row>
    <x:row r="83" ht="58" customHeight="1">
      <x:c r="A83" s="142" t="str">
        <x:v>WU-077</x:v>
      </x:c>
      <x:c r="B83" s="142" t="str">
        <x:v>REQ-WU-TEST</x:v>
      </x:c>
      <x:c r="C83" s="142" t="str">
        <x:v>Test</x:v>
      </x:c>
      <x:c r="D83" s="142" t="str">
        <x:v>ไม่มีข้อสอบถึงรอบ</x:v>
      </x:c>
      <x:c r="E83" s="142" t="str">
        <x:v>Functional</x:v>
      </x:c>
      <x:c r="F83" s="142" t="str">
        <x:v>P1-High</x:v>
      </x:c>
      <x:c r="G83" s="139" t="str">
        <x:v>ไม่มี exam ที่ถึง checkpoint</x:v>
      </x:c>
      <x:c r="H83" s="139" t="str">
        <x:v>เปิดหน้า</x:v>
      </x:c>
      <x:c r="I83" s="139" t="str">
        <x:v>NO_AVAILABLE_EXAM</x:v>
      </x:c>
      <x:c r="J83" s="139" t="str">
        <x:v>แสดงข้อความยังไม่มีแบบทดสอบที่ถึงรอบ โดย Feedback/History เดิมยังแสดงได้</x:v>
      </x:c>
      <x:c r="K83" s="139" t="str">
        <x:v>-</x:v>
      </x:c>
      <x:c r="L83" s="139" t="str">
        <x:v>ทุกขนาดที่รองรับ</x:v>
      </x:c>
      <x:c r="M83" s="145"/>
      <x:c r="N83" s="145" t="str">
        <x:v>Not Run</x:v>
      </x:c>
      <x:c r="O83" s="145"/>
      <x:c r="P83" s="145"/>
      <x:c r="Q83" s="145"/>
      <x:c r="R83" s="148"/>
      <x:c r="S83" s="145"/>
    </x:row>
    <x:row r="84" ht="58" customHeight="1">
      <x:c r="A84" s="142" t="str">
        <x:v>WU-078</x:v>
      </x:c>
      <x:c r="B84" s="142" t="str">
        <x:v>REQ-WU-TEST</x:v>
      </x:c>
      <x:c r="C84" s="142" t="str">
        <x:v>Test</x:v>
      </x:c>
      <x:c r="D84" s="142" t="str">
        <x:v>รายละเอียดข้อสอบ</x:v>
      </x:c>
      <x:c r="E84" s="142" t="str">
        <x:v>Functional</x:v>
      </x:c>
      <x:c r="F84" s="142" t="str">
        <x:v>P1-High</x:v>
      </x:c>
      <x:c r="G84" s="139" t="str">
        <x:v>มี exam พร้อมทำ</x:v>
      </x:c>
      <x:c r="H84" s="139" t="str">
        <x:v>กด Exam card</x:v>
      </x:c>
      <x:c r="I84" s="139" t="str">
        <x:v>BI Checkpoint: 10 ข้อ 15 นาที</x:v>
      </x:c>
      <x:c r="J84" s="139" t="str">
        <x:v>popup แสดงวิชา จำนวนข้อ เวลา คะแนนเต็ม/คำอธิบาย และปุ่มเริ่มครบ</x:v>
      </x:c>
      <x:c r="K84" s="139" t="str">
        <x:v>-</x:v>
      </x:c>
      <x:c r="L84" s="139" t="str">
        <x:v>ทุกขนาดที่รองรับ</x:v>
      </x:c>
      <x:c r="M84" s="145"/>
      <x:c r="N84" s="145" t="str">
        <x:v>Not Run</x:v>
      </x:c>
      <x:c r="O84" s="145"/>
      <x:c r="P84" s="145"/>
      <x:c r="Q84" s="145"/>
      <x:c r="R84" s="148"/>
      <x:c r="S84" s="145"/>
    </x:row>
    <x:row r="85" ht="58" customHeight="1">
      <x:c r="A85" s="142" t="str">
        <x:v>WU-079</x:v>
      </x:c>
      <x:c r="B85" s="142" t="str">
        <x:v>REQ-WU-TEST</x:v>
      </x:c>
      <x:c r="C85" s="142" t="str">
        <x:v>Test</x:v>
      </x:c>
      <x:c r="D85" s="142" t="str">
        <x:v>Popup ไม่ถูกสันบัง</x:v>
      </x:c>
      <x:c r="E85" s="142" t="str">
        <x:v>UI/UX</x:v>
      </x:c>
      <x:c r="F85" s="142" t="str">
        <x:v>P1-High</x:v>
      </x:c>
      <x:c r="G85" s="139" t="str">
        <x:v>เปิด Exam popup</x:v>
      </x:c>
      <x:c r="H85" s="139" t="str">
        <x:v>ย่อ/ขยาย viewport และ scroll</x:v>
      </x:c>
      <x:c r="I85" s="139" t="str">
        <x:v>1366x768, 1920x1080</x:v>
      </x:c>
      <x:c r="J85" s="139" t="str">
        <x:v>popup อยู่ชั้นหน้าสุด ทุกข้อความและปุ่มไม่ถูกแกน/วงสมุดบัง</x:v>
      </x:c>
      <x:c r="K85" s="139" t="str">
        <x:v>-</x:v>
      </x:c>
      <x:c r="L85" s="139" t="str">
        <x:v>ทุกขนาดที่รองรับ</x:v>
      </x:c>
      <x:c r="M85" s="145"/>
      <x:c r="N85" s="145" t="str">
        <x:v>Not Run</x:v>
      </x:c>
      <x:c r="O85" s="145"/>
      <x:c r="P85" s="145"/>
      <x:c r="Q85" s="145"/>
      <x:c r="R85" s="148"/>
      <x:c r="S85" s="145"/>
    </x:row>
    <x:row r="86" ht="58" customHeight="1">
      <x:c r="A86" s="142" t="str">
        <x:v>WU-080</x:v>
      </x:c>
      <x:c r="B86" s="142" t="str">
        <x:v>REQ-WU-TEST</x:v>
      </x:c>
      <x:c r="C86" s="142" t="str">
        <x:v>Test</x:v>
      </x:c>
      <x:c r="D86" s="142" t="str">
        <x:v>เริ่มและแสดงข้อสอบ</x:v>
      </x:c>
      <x:c r="E86" s="142" t="str">
        <x:v>End-to-End</x:v>
      </x:c>
      <x:c r="F86" s="142" t="str">
        <x:v>P0-Critical</x:v>
      </x:c>
      <x:c r="G86" s="139" t="str">
        <x:v>มี exam พร้อมทำ</x:v>
      </x:c>
      <x:c r="H86" s="139" t="str">
        <x:v>กด Start</x:v>
      </x:c>
      <x:c r="I86" s="139" t="str">
        <x:v>EXAM_BI_10Q</x:v>
      </x:c>
      <x:c r="J86" s="139" t="str">
        <x:v>โหลดคำถาม/ตัวเลือก/ความคืบหน้า/เวลา ถูกลำดับและไม่เผยเฉลย</x:v>
      </x:c>
      <x:c r="K86" s="139" t="str">
        <x:v>GET exam detail</x:v>
      </x:c>
      <x:c r="L86" s="139" t="str">
        <x:v>ทุกขนาดที่รองรับ</x:v>
      </x:c>
      <x:c r="M86" s="145"/>
      <x:c r="N86" s="145" t="str">
        <x:v>Not Run</x:v>
      </x:c>
      <x:c r="O86" s="145"/>
      <x:c r="P86" s="145"/>
      <x:c r="Q86" s="145"/>
      <x:c r="R86" s="148"/>
      <x:c r="S86" s="145"/>
    </x:row>
    <x:row r="87" ht="58" customHeight="1">
      <x:c r="A87" s="142" t="str">
        <x:v>WU-081</x:v>
      </x:c>
      <x:c r="B87" s="142" t="str">
        <x:v>REQ-WU-TEST</x:v>
      </x:c>
      <x:c r="C87" s="142" t="str">
        <x:v>Test</x:v>
      </x:c>
      <x:c r="D87" s="142" t="str">
        <x:v>สี Choice และสถานะเลือก</x:v>
      </x:c>
      <x:c r="E87" s="142" t="str">
        <x:v>UI/UX</x:v>
      </x:c>
      <x:c r="F87" s="142" t="str">
        <x:v>P2-Medium</x:v>
      </x:c>
      <x:c r="G87" s="139" t="str">
        <x:v>อยู่ในข้อสอบ</x:v>
      </x:c>
      <x:c r="H87" s="139" t="str">
        <x:v>hover และเลือกแต่ละ choice</x:v>
      </x:c>
      <x:c r="I87" s="139" t="str">
        <x:v>A-D</x:v>
      </x:c>
      <x:c r="J87" s="139" t="str">
        <x:v>hover/selected เข้มพอแยกได้ มี focus state และไม่พึ่งสีอย่างเดียว</x:v>
      </x:c>
      <x:c r="K87" s="139" t="str">
        <x:v>-</x:v>
      </x:c>
      <x:c r="L87" s="139" t="str">
        <x:v>ทุกขนาดที่รองรับ</x:v>
      </x:c>
      <x:c r="M87" s="145"/>
      <x:c r="N87" s="145" t="str">
        <x:v>Not Run</x:v>
      </x:c>
      <x:c r="O87" s="145"/>
      <x:c r="P87" s="145"/>
      <x:c r="Q87" s="145"/>
      <x:c r="R87" s="148"/>
      <x:c r="S87" s="145"/>
    </x:row>
    <x:row r="88" ht="58" customHeight="1">
      <x:c r="A88" s="142" t="str">
        <x:v>WU-082</x:v>
      </x:c>
      <x:c r="B88" s="142" t="str">
        <x:v>REQ-WU-TEST</x:v>
      </x:c>
      <x:c r="C88" s="142" t="str">
        <x:v>Test</x:v>
      </x:c>
      <x:c r="D88" s="142" t="str">
        <x:v>ห้ามข้ามข้อที่ยังไม่ตอบ</x:v>
      </x:c>
      <x:c r="E88" s="142" t="str">
        <x:v>Validation</x:v>
      </x:c>
      <x:c r="F88" s="142" t="str">
        <x:v>P0-Critical</x:v>
      </x:c>
      <x:c r="G88" s="139" t="str">
        <x:v>อยู่ข้อที่ยังไม่เลือก</x:v>
      </x:c>
      <x:c r="H88" s="139" t="str">
        <x:v>กด Next</x:v>
      </x:c>
      <x:c r="I88" s="139" t="str">
        <x:v>No answer</x:v>
      </x:c>
      <x:c r="J88" s="139" t="str">
        <x:v>อยู่ข้อเดิมและแสดงข้อความสีแดงใต้คำตอบทันที</x:v>
      </x:c>
      <x:c r="K88" s="139" t="str">
        <x:v>-</x:v>
      </x:c>
      <x:c r="L88" s="139" t="str">
        <x:v>ทุกขนาดที่รองรับ</x:v>
      </x:c>
      <x:c r="M88" s="145"/>
      <x:c r="N88" s="145" t="str">
        <x:v>Not Run</x:v>
      </x:c>
      <x:c r="O88" s="145"/>
      <x:c r="P88" s="145"/>
      <x:c r="Q88" s="145"/>
      <x:c r="R88" s="148"/>
      <x:c r="S88" s="145"/>
    </x:row>
    <x:row r="89" ht="58" customHeight="1">
      <x:c r="A89" s="142" t="str">
        <x:v>WU-083</x:v>
      </x:c>
      <x:c r="B89" s="142" t="str">
        <x:v>REQ-WU-TEST</x:v>
      </x:c>
      <x:c r="C89" s="142" t="str">
        <x:v>Test</x:v>
      </x:c>
      <x:c r="D89" s="142" t="str">
        <x:v>ย้อนกลับและจำคำตอบ</x:v>
      </x:c>
      <x:c r="E89" s="142" t="str">
        <x:v>Functional</x:v>
      </x:c>
      <x:c r="F89" s="142" t="str">
        <x:v>P0-Critical</x:v>
      </x:c>
      <x:c r="G89" s="139" t="str">
        <x:v>ตอบอย่างน้อย 2 ข้อ</x:v>
      </x:c>
      <x:c r="H89" s="139" t="str">
        <x:v>กด Previous แล้ว Next</x:v>
      </x:c>
      <x:c r="I89" s="139" t="str">
        <x:v>Answers A,B</x:v>
      </x:c>
      <x:c r="J89" s="139" t="str">
        <x:v>ค่าที่เลือกยังอยู่ Progress ถูกต้อง และไม่เปลี่ยนลำดับ choice</x:v>
      </x:c>
      <x:c r="K89" s="139" t="str">
        <x:v>-</x:v>
      </x:c>
      <x:c r="L89" s="139" t="str">
        <x:v>ทุกขนาดที่รองรับ</x:v>
      </x:c>
      <x:c r="M89" s="145"/>
      <x:c r="N89" s="145" t="str">
        <x:v>Not Run</x:v>
      </x:c>
      <x:c r="O89" s="145"/>
      <x:c r="P89" s="145"/>
      <x:c r="Q89" s="145"/>
      <x:c r="R89" s="148"/>
      <x:c r="S89" s="145"/>
    </x:row>
    <x:row r="90" ht="58" customHeight="1">
      <x:c r="A90" s="142" t="str">
        <x:v>WU-084</x:v>
      </x:c>
      <x:c r="B90" s="142" t="str">
        <x:v>REQ-WU-TEST</x:v>
      </x:c>
      <x:c r="C90" s="142" t="str">
        <x:v>Test</x:v>
      </x:c>
      <x:c r="D90" s="142" t="str">
        <x:v>หมดเวลา</x:v>
      </x:c>
      <x:c r="E90" s="142" t="str">
        <x:v>Business Rule</x:v>
      </x:c>
      <x:c r="F90" s="142" t="str">
        <x:v>P0-Critical</x:v>
      </x:c>
      <x:c r="G90" s="139" t="str">
        <x:v>ข้อสอบมี time limit</x:v>
      </x:c>
      <x:c r="H90" s="139" t="str">
        <x:v>ปล่อยเวลาถึง 00:00</x:v>
      </x:c>
      <x:c r="I90" s="139" t="str">
        <x:v>Short test timer</x:v>
      </x:c>
      <x:c r="J90" s="139" t="str">
        <x:v>ระบบป้องกันตอบเพิ่มและ submit/แจ้งหมดเวลาตามกติกาเพียงครั้งเดียว</x:v>
      </x:c>
      <x:c r="K90" s="139" t="str">
        <x:v>-</x:v>
      </x:c>
      <x:c r="L90" s="139" t="str">
        <x:v>ทุกขนาดที่รองรับ</x:v>
      </x:c>
      <x:c r="M90" s="145"/>
      <x:c r="N90" s="145" t="str">
        <x:v>Not Run</x:v>
      </x:c>
      <x:c r="O90" s="145"/>
      <x:c r="P90" s="145"/>
      <x:c r="Q90" s="145"/>
      <x:c r="R90" s="148"/>
      <x:c r="S90" s="145"/>
    </x:row>
    <x:row r="91" ht="58" customHeight="1">
      <x:c r="A91" s="142" t="str">
        <x:v>WU-085</x:v>
      </x:c>
      <x:c r="B91" s="142" t="str">
        <x:v>REQ-WU-TEST</x:v>
      </x:c>
      <x:c r="C91" s="142" t="str">
        <x:v>Test</x:v>
      </x:c>
      <x:c r="D91" s="142" t="str">
        <x:v>ยืนยันส่งข้อสอบ</x:v>
      </x:c>
      <x:c r="E91" s="142" t="str">
        <x:v>End-to-End</x:v>
      </x:c>
      <x:c r="F91" s="142" t="str">
        <x:v>P0-Critical</x:v>
      </x:c>
      <x:c r="G91" s="139" t="str">
        <x:v>ตอบครบ</x:v>
      </x:c>
      <x:c r="H91" s="139" t="str">
        <x:v>กด Submit ตรวจ summary แล้วยืนยัน</x:v>
      </x:c>
      <x:c r="I91" s="139" t="str">
        <x:v>10 answers</x:v>
      </x:c>
      <x:c r="J91" s="139" t="str">
        <x:v>ส่ง exam เพียงครั้งเดียว แสดงผลคะแนน raw/max และเปอร์เซ็นต์ถูกต้อง</x:v>
      </x:c>
      <x:c r="K91" s="139" t="str">
        <x:v>POST exam submission</x:v>
      </x:c>
      <x:c r="L91" s="139" t="str">
        <x:v>ทุกขนาดที่รองรับ</x:v>
      </x:c>
      <x:c r="M91" s="145"/>
      <x:c r="N91" s="145" t="str">
        <x:v>Not Run</x:v>
      </x:c>
      <x:c r="O91" s="145"/>
      <x:c r="P91" s="145"/>
      <x:c r="Q91" s="145"/>
      <x:c r="R91" s="148"/>
      <x:c r="S91" s="145"/>
    </x:row>
    <x:row r="92" ht="58" customHeight="1">
      <x:c r="A92" s="142" t="str">
        <x:v>WU-086</x:v>
      </x:c>
      <x:c r="B92" s="142" t="str">
        <x:v>REQ-WU-TEST</x:v>
      </x:c>
      <x:c r="C92" s="142" t="str">
        <x:v>Test</x:v>
      </x:c>
      <x:c r="D92" s="142" t="str">
        <x:v>ข้อสอบหายจนถึง Checkpoint</x:v>
      </x:c>
      <x:c r="E92" s="142" t="str">
        <x:v>Business Rule</x:v>
      </x:c>
      <x:c r="F92" s="142" t="str">
        <x:v>P0-Critical</x:v>
      </x:c>
      <x:c r="G92" s="139" t="str">
        <x:v>ส่งข้อสอบสำเร็จ</x:v>
      </x:c>
      <x:c r="H92" s="139" t="str">
        <x:v>ปิดผลลัพธ์และ reload</x:v>
      </x:c>
      <x:c r="I92" s="139" t="str">
        <x:v>Submitted exam</x:v>
      </x:c>
      <x:c r="J92" s="139" t="str">
        <x:v>ข้อสอบรายวิชานั้นหายจากรายการ และกลับเมื่อ next_checkpoint_at ถึงกำหนด</x:v>
      </x:c>
      <x:c r="K92" s="139" t="str">
        <x:v>GET exams; exam_checkpoint</x:v>
      </x:c>
      <x:c r="L92" s="139" t="str">
        <x:v>ทุกขนาดที่รองรับ</x:v>
      </x:c>
      <x:c r="M92" s="145"/>
      <x:c r="N92" s="145" t="str">
        <x:v>Not Run</x:v>
      </x:c>
      <x:c r="O92" s="145"/>
      <x:c r="P92" s="145"/>
      <x:c r="Q92" s="145"/>
      <x:c r="R92" s="148"/>
      <x:c r="S92" s="145"/>
    </x:row>
    <x:row r="93" ht="58" customHeight="1">
      <x:c r="A93" s="142" t="str">
        <x:v>WU-087</x:v>
      </x:c>
      <x:c r="B93" s="142" t="str">
        <x:v>REQ-WU-TEST</x:v>
      </x:c>
      <x:c r="C93" s="142" t="str">
        <x:v>Test</x:v>
      </x:c>
      <x:c r="D93" s="142" t="str">
        <x:v>เกณฑ์เรื่องอ่อน</x:v>
      </x:c>
      <x:c r="E93" s="142" t="str">
        <x:v>Calculation</x:v>
      </x:c>
      <x:c r="F93" s="142" t="str">
        <x:v>P0-Critical</x:v>
      </x:c>
      <x:c r="G93" s="139" t="str">
        <x:v>มีคะแนนแยก part/topic</x:v>
      </x:c>
      <x:c r="H93" s="139" t="str">
        <x:v>ตรวจ boundary</x:v>
      </x:c>
      <x:c r="I93" s="139" t="str">
        <x:v>49.99%, 50%, 80%</x:v>
      </x:c>
      <x:c r="J93" s="139" t="str">
        <x:v>นับ weak เฉพาะต่ำกว่า 50%; 50% ไม่เป็น weak</x:v>
      </x:c>
      <x:c r="K93" s="139" t="str">
        <x:v>part_score_history/exam_part</x:v>
      </x:c>
      <x:c r="L93" s="139" t="str">
        <x:v>ทุกขนาดที่รองรับ</x:v>
      </x:c>
      <x:c r="M93" s="145"/>
      <x:c r="N93" s="145" t="str">
        <x:v>Not Run</x:v>
      </x:c>
      <x:c r="O93" s="145"/>
      <x:c r="P93" s="145"/>
      <x:c r="Q93" s="145"/>
      <x:c r="R93" s="148"/>
      <x:c r="S93" s="145"/>
    </x:row>
    <x:row r="94" ht="58" customHeight="1">
      <x:c r="A94" s="142" t="str">
        <x:v>WU-088</x:v>
      </x:c>
      <x:c r="B94" s="142" t="str">
        <x:v>REQ-WU-TEST</x:v>
      </x:c>
      <x:c r="C94" s="142" t="str">
        <x:v>Test</x:v>
      </x:c>
      <x:c r="D94" s="142" t="str">
        <x:v>Top 3 เรื่องอ่อน</x:v>
      </x:c>
      <x:c r="E94" s="142" t="str">
        <x:v>Calculation</x:v>
      </x:c>
      <x:c r="F94" s="142" t="str">
        <x:v>P0-Critical</x:v>
      </x:c>
      <x:c r="G94" s="139" t="str">
        <x:v>มี weak topics มากกว่า 3</x:v>
      </x:c>
      <x:c r="H94" s="139" t="str">
        <x:v>เปิด Feedback</x:v>
      </x:c>
      <x:c r="I94" s="139" t="str">
        <x:v>เปอร์เซ็นต์ 10,20,30,40</x:v>
      </x:c>
      <x:c r="J94" s="139" t="str">
        <x:v>แสดง 3 เรื่องต่ำสุดเรียงจากอ่อนที่สุด; History แสดงอ่อนที่สุดเพียง 1 เรื่อง</x:v>
      </x:c>
      <x:c r="K94" s="139" t="str">
        <x:v>-</x:v>
      </x:c>
      <x:c r="L94" s="139" t="str">
        <x:v>ทุกขนาดที่รองรับ</x:v>
      </x:c>
      <x:c r="M94" s="145"/>
      <x:c r="N94" s="145" t="str">
        <x:v>Not Run</x:v>
      </x:c>
      <x:c r="O94" s="145"/>
      <x:c r="P94" s="145"/>
      <x:c r="Q94" s="145"/>
      <x:c r="R94" s="148"/>
      <x:c r="S94" s="145"/>
    </x:row>
    <x:row r="95" ht="58" customHeight="1">
      <x:c r="A95" s="142" t="str">
        <x:v>WU-089</x:v>
      </x:c>
      <x:c r="B95" s="142" t="str">
        <x:v>REQ-WU-TEST</x:v>
      </x:c>
      <x:c r="C95" s="142" t="str">
        <x:v>Test</x:v>
      </x:c>
      <x:c r="D95" s="142" t="str">
        <x:v>วิธีทบทวนตามเรื่องอ่อน</x:v>
      </x:c>
      <x:c r="E95" s="142" t="str">
        <x:v>Integration</x:v>
      </x:c>
      <x:c r="F95" s="142" t="str">
        <x:v>P0-Critical</x:v>
      </x:c>
      <x:c r="G95" s="139" t="str">
        <x:v>มี top 3 weak topics และ study_type_id</x:v>
      </x:c>
      <x:c r="H95" s="139" t="str">
        <x:v>เปิด Feedback</x:v>
      </x:c>
      <x:c r="I95" s="139" t="str">
        <x:v>Weak topics 3 รายการ</x:v>
      </x:c>
      <x:c r="J95" s="139" t="str">
        <x:v>แสดงวิธีทบทวน 3 รายการที่สัมพันธ์กับแต่ละเรื่องจาก study_types ไม่ใช้ข้อความคงที่</x:v>
      </x:c>
      <x:c r="K95" s="139" t="str">
        <x:v>study_types / insights API</x:v>
      </x:c>
      <x:c r="L95" s="139" t="str">
        <x:v>ทุกขนาดที่รองรับ</x:v>
      </x:c>
      <x:c r="M95" s="145"/>
      <x:c r="N95" s="145" t="str">
        <x:v>Not Run</x:v>
      </x:c>
      <x:c r="O95" s="145"/>
      <x:c r="P95" s="145"/>
      <x:c r="Q95" s="145"/>
      <x:c r="R95" s="148"/>
      <x:c r="S95" s="145"/>
    </x:row>
    <x:row r="96" ht="58" customHeight="1">
      <x:c r="A96" s="142" t="str">
        <x:v>WU-090</x:v>
      </x:c>
      <x:c r="B96" s="142" t="str">
        <x:v>REQ-WU-TEST</x:v>
      </x:c>
      <x:c r="C96" s="142" t="str">
        <x:v>Test</x:v>
      </x:c>
      <x:c r="D96" s="142" t="str">
        <x:v>Checkpoint และเวลาแนะนำ</x:v>
      </x:c>
      <x:c r="E96" s="142" t="str">
        <x:v>Calculation</x:v>
      </x:c>
      <x:c r="F96" s="142" t="str">
        <x:v>P1-High</x:v>
      </x:c>
      <x:c r="G96" s="139" t="str">
        <x:v>มี insight หลังสอบ</x:v>
      </x:c>
      <x:c r="H96" s="139" t="str">
        <x:v>ตรวจ next checkpoint, interval และ review delta</x:v>
      </x:c>
      <x:c r="I96" s="139" t="str">
        <x:v>weak_topic_count หลายระดับ</x:v>
      </x:c>
      <x:c r="J96" s="139" t="str">
        <x:v>เรื่องอ่อนมากทำให้ checkpoint ถี่/แนะนำเพิ่มเวลาตามกติกา และวันถูก timezone</x:v>
      </x:c>
      <x:c r="K96" s="139" t="str">
        <x:v>exam_checkpoint</x:v>
      </x:c>
      <x:c r="L96" s="139" t="str">
        <x:v>ทุกขนาดที่รองรับ</x:v>
      </x:c>
      <x:c r="M96" s="145"/>
      <x:c r="N96" s="145" t="str">
        <x:v>Not Run</x:v>
      </x:c>
      <x:c r="O96" s="145"/>
      <x:c r="P96" s="145"/>
      <x:c r="Q96" s="145"/>
      <x:c r="R96" s="148"/>
      <x:c r="S96" s="145"/>
    </x:row>
    <x:row r="97" ht="58" customHeight="1">
      <x:c r="A97" s="142" t="str">
        <x:v>WU-091</x:v>
      </x:c>
      <x:c r="B97" s="142" t="str">
        <x:v>REQ-WU-TEST</x:v>
      </x:c>
      <x:c r="C97" s="142" t="str">
        <x:v>Test</x:v>
      </x:c>
      <x:c r="D97" s="142" t="str">
        <x:v>History แยกวิชา</x:v>
      </x:c>
      <x:c r="E97" s="142" t="str">
        <x:v>Functional</x:v>
      </x:c>
      <x:c r="F97" s="142" t="str">
        <x:v>P1-High</x:v>
      </x:c>
      <x:c r="G97" s="139" t="str">
        <x:v>มีประวัติหลายวิชา/หลายครั้ง</x:v>
      </x:c>
      <x:c r="H97" s="139" t="str">
        <x:v>เปลี่ยน Subject tab</x:v>
      </x:c>
      <x:c r="I97" s="139" t="str">
        <x:v>BI 3 ครั้ง, Numerical 2 ครั้ง</x:v>
      </x:c>
      <x:c r="J97" s="139" t="str">
        <x:v>แสดงรอบ คะแนน raw/max และ weak topic เดียวของวิชาที่เลือก; tab ซ้อนเหมือน Main</x:v>
      </x:c>
      <x:c r="K97" s="139" t="str">
        <x:v>-</x:v>
      </x:c>
      <x:c r="L97" s="139" t="str">
        <x:v>ทุกขนาดที่รองรับ</x:v>
      </x:c>
      <x:c r="M97" s="145"/>
      <x:c r="N97" s="145" t="str">
        <x:v>Not Run</x:v>
      </x:c>
      <x:c r="O97" s="145"/>
      <x:c r="P97" s="145"/>
      <x:c r="Q97" s="145"/>
      <x:c r="R97" s="148"/>
      <x:c r="S97" s="145"/>
    </x:row>
    <x:row r="98" ht="58" customHeight="1">
      <x:c r="A98" s="142" t="str">
        <x:v>WU-092</x:v>
      </x:c>
      <x:c r="B98" s="142" t="str">
        <x:v>REQ-WU-TEST</x:v>
      </x:c>
      <x:c r="C98" s="142" t="str">
        <x:v>Test</x:v>
      </x:c>
      <x:c r="D98" s="142" t="str">
        <x:v>ส่งซ้ำ/เครือข่ายขาด</x:v>
      </x:c>
      <x:c r="E98" s="142" t="str">
        <x:v>Recovery</x:v>
      </x:c>
      <x:c r="F98" s="142" t="str">
        <x:v>P0-Critical</x:v>
      </x:c>
      <x:c r="G98" s="139" t="str">
        <x:v>จำลอง timeout ระหว่าง submit</x:v>
      </x:c>
      <x:c r="H98" s="139" t="str">
        <x:v>กด Submit แล้ว Retry</x:v>
      </x:c>
      <x:c r="I98" s="139" t="str">
        <x:v>Timeout after server accepted</x:v>
      </x:c>
      <x:c r="J98" s="139" t="str">
        <x:v>ไม่สร้างประวัติซ้ำ แจ้งสถานะที่ตรวจสอบได้ และโหลดผลล่าสุด</x:v>
      </x:c>
      <x:c r="K98" s="139" t="str">
        <x:v>POST exam submission / idempotency</x:v>
      </x:c>
      <x:c r="L98" s="139" t="str">
        <x:v>ทุกขนาดที่รองรับ</x:v>
      </x:c>
      <x:c r="M98" s="145"/>
      <x:c r="N98" s="145" t="str">
        <x:v>Not Run</x:v>
      </x:c>
      <x:c r="O98" s="145"/>
      <x:c r="P98" s="145"/>
      <x:c r="Q98" s="145"/>
      <x:c r="R98" s="148"/>
      <x:c r="S98" s="145"/>
    </x:row>
    <x:row r="99" ht="58" customHeight="1">
      <x:c r="A99" s="143" t="str">
        <x:v>WU-093</x:v>
      </x:c>
      <x:c r="B99" s="143" t="str">
        <x:v>REQ-WU-TEST</x:v>
      </x:c>
      <x:c r="C99" s="143" t="str">
        <x:v>Test</x:v>
      </x:c>
      <x:c r="D99" s="143" t="str">
        <x:v>Responsive และ Scroll</x:v>
      </x:c>
      <x:c r="E99" s="143" t="str">
        <x:v>Compatibility</x:v>
      </x:c>
      <x:c r="F99" s="143" t="str">
        <x:v>P1-High</x:v>
      </x:c>
      <x:c r="G99" s="140" t="str">
        <x:v>มีรายการ/history ยาว</x:v>
      </x:c>
      <x:c r="H99" s="140" t="str">
        <x:v>ทดสอบหลาย viewport และ scroll ฝั่งกระดาษ</x:v>
      </x:c>
      <x:c r="I99" s="140" t="str">
        <x:v>Laptop/Tablet</x:v>
      </x:c>
      <x:c r="J99" s="140" t="str">
        <x:v>หัวข้อพอดีขอบ ประวัติอ่านได้ และสันสมุดไม่บัง interactive elements</x:v>
      </x:c>
      <x:c r="K99" s="140" t="str">
        <x:v>-</x:v>
      </x:c>
      <x:c r="L99" s="140" t="str">
        <x:v>ทุกขนาดที่รองรับ</x:v>
      </x:c>
      <x:c r="M99" s="146"/>
      <x:c r="N99" s="146" t="str">
        <x:v>Not Run</x:v>
      </x:c>
      <x:c r="O99" s="146"/>
      <x:c r="P99" s="146"/>
      <x:c r="Q99" s="146"/>
      <x:c r="R99" s="149"/>
      <x:c r="S99" s="146"/>
    </x:row>
  </x:sheetData>
  <x:mergeCells>
    <x:mergeCell ref="A1:S1"/>
    <x:mergeCell ref="A2:S2"/>
    <x:mergeCell ref="J3:S4"/>
  </x:mergeCells>
  <x:conditionalFormatting sqref="N7:N99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  <x:cfRule type="containsText" dxfId="3" priority="4" operator="containsText" text="Not Run"/>
  </x:conditionalFormatting>
  <x:conditionalFormatting sqref="F7:F99">
    <x:cfRule type="containsText" dxfId="4" priority="5" operator="containsText" text="P0"/>
    <x:cfRule type="containsText" dxfId="5" priority="6" operator="containsText" text="P1"/>
  </x:conditionalFormatting>
  <x:dataValidations count="4">
    <x:dataValidation type="list" sqref="N7:N99">
      <x:formula1>"Not Run,Pass,Fail,Blocked"</x:formula1>
    </x:dataValidation>
    <x:dataValidation type="list" sqref="E7:E99">
      <x:formula1>"Smoke,Functional,Validation,Negative,End-to-End,Integration,UI/UX,Navigation,Accessibility,Compatibility,Security,Recovery,Reliability,Calculation,Business Rule,Concurrency,Regression,Performance"</x:formula1>
    </x:dataValidation>
    <x:dataValidation type="list" sqref="F7:F99">
      <x:formula1>"P0-Critical,P1-High,P2-Medium,P3-Low"</x:formula1>
    </x:dataValidation>
    <x:dataValidation type="list" sqref="O7:O99">
      <x:formula1>",S1-Blocker,S2-Major,S3-Minor,S4-Cosmetic"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faf5dc69b14bf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4" customHeight="1">
      <x:c r="A1" s="9" t="str">
        <x:v>Planentrix — Web User Coverage</x:v>
      </x:c>
      <x:c r="B1" s="10" t="str">
        <x:v>Planentrix — Web User Coverage</x:v>
      </x:c>
      <x:c r="C1" s="10" t="str">
        <x:v>Planentrix — Web User Coverage</x:v>
      </x:c>
      <x:c r="D1" s="10" t="str">
        <x:v>Planentrix — Web User Coverage</x:v>
      </x:c>
      <x:c r="E1" s="10" t="str">
        <x:v>Planentrix — Web User Coverage</x:v>
      </x:c>
      <x:c r="F1" s="10" t="str">
        <x:v>Planentrix — Web User Coverage</x:v>
      </x:c>
      <x:c r="G1" s="10" t="str">
        <x:v>Planentrix — Web User Coverage</x:v>
      </x:c>
      <x:c r="H1" s="10" t="str">
        <x:v>Planentrix — Web User Coverage</x:v>
      </x:c>
      <x:c r="I1" s="10" t="str">
        <x:v>Planentrix — Web User Coverage</x:v>
      </x:c>
      <x:c r="J1" s="10" t="str">
        <x:v>Planentrix — Web User Coverage</x:v>
      </x:c>
      <x:c r="K1" s="11" t="str">
        <x:v>Planentrix — Web User Coverage</x:v>
      </x:c>
    </x:row>
    <x:row r="2" ht="24" customHeight="1">
      <x:c r="A2" s="15" t="str">
        <x:v>สรุป Coverage และผลการทดสอบเฉพาะเว็บส่วนผู้ใช้ อัปเดตอัตโนมัติจากชีต Test Cases</x:v>
      </x:c>
      <x:c r="B2" s="15" t="str">
        <x:v>สรุป Coverage และผลการทดสอบเฉพาะเว็บส่วนผู้ใช้ อัปเดตอัตโนมัติจากชีต Test Cases</x:v>
      </x:c>
      <x:c r="C2" s="15" t="str">
        <x:v>สรุป Coverage และผลการทดสอบเฉพาะเว็บส่วนผู้ใช้ อัปเดตอัตโนมัติจากชีต Test Cases</x:v>
      </x:c>
      <x:c r="D2" s="15" t="str">
        <x:v>สรุป Coverage และผลการทดสอบเฉพาะเว็บส่วนผู้ใช้ อัปเดตอัตโนมัติจากชีต Test Cases</x:v>
      </x:c>
      <x:c r="E2" s="15" t="str">
        <x:v>สรุป Coverage และผลการทดสอบเฉพาะเว็บส่วนผู้ใช้ อัปเดตอัตโนมัติจากชีต Test Cases</x:v>
      </x:c>
      <x:c r="F2" s="15" t="str">
        <x:v>สรุป Coverage และผลการทดสอบเฉพาะเว็บส่วนผู้ใช้ อัปเดตอัตโนมัติจากชีต Test Cases</x:v>
      </x:c>
      <x:c r="G2" s="15" t="str">
        <x:v>สรุป Coverage และผลการทดสอบเฉพาะเว็บส่วนผู้ใช้ อัปเดตอัตโนมัติจากชีต Test Cases</x:v>
      </x:c>
      <x:c r="H2" s="15" t="str">
        <x:v>สรุป Coverage และผลการทดสอบเฉพาะเว็บส่วนผู้ใช้ อัปเดตอัตโนมัติจากชีต Test Cases</x:v>
      </x:c>
      <x:c r="I2" s="15" t="str">
        <x:v>สรุป Coverage และผลการทดสอบเฉพาะเว็บส่วนผู้ใช้ อัปเดตอัตโนมัติจากชีต Test Cases</x:v>
      </x:c>
      <x:c r="J2" s="15" t="str">
        <x:v>สรุป Coverage และผลการทดสอบเฉพาะเว็บส่วนผู้ใช้ อัปเดตอัตโนมัติจากชีต Test Cases</x:v>
      </x:c>
      <x:c r="K2" s="15" t="str">
        <x:v>สรุป Coverage และผลการทดสอบเฉพาะเว็บส่วนผู้ใช้ อัปเดตอัตโนมัติจากชีต Test Cases</x:v>
      </x:c>
    </x:row>
    <x:row r="3">
      <x:c r="A3" s="111" t="str">
        <x:v>Test Cases ทั้งหมด</x:v>
      </x:c>
      <x:c r="B3" s="111" t="n">
        <x:f>COUNTA('Test Cases'!A7:A99)</x:f>
        <x:v>93</x:v>
      </x:c>
      <x:c r="C3" s="111" t="str">
        <x:v>Pass</x:v>
      </x:c>
      <x:c r="D3" s="111" t="n">
        <x:f>COUNTIF('Test Cases'!N7:N99,"Pass")</x:f>
        <x:v>0</x:v>
      </x:c>
      <x:c r="E3" s="111" t="str">
        <x:v>Fail</x:v>
      </x:c>
      <x:c r="F3" s="111" t="n">
        <x:f>COUNTIF('Test Cases'!N7:N99,"Fail")</x:f>
        <x:v>0</x:v>
      </x:c>
      <x:c r="G3" s="111" t="str">
        <x:v>Blocked</x:v>
      </x:c>
      <x:c r="H3" s="111" t="n">
        <x:f>COUNTIF('Test Cases'!N7:N99,"Blocked")</x:f>
        <x:v>0</x:v>
      </x:c>
      <x:c r="I3" s="111" t="str">
        <x:v>Not Run</x:v>
      </x:c>
      <x:c r="J3" s="111" t="n">
        <x:f>COUNTIF('Test Cases'!N7:N99,"Not Run")</x:f>
        <x:v>93</x:v>
      </x:c>
    </x:row>
    <x:row r="6">
      <x:c r="A6" s="41" t="str">
        <x:v>หน้า</x:v>
      </x:c>
      <x:c r="B6" s="41" t="str">
        <x:v>ทั้งหมด</x:v>
      </x:c>
      <x:c r="C6" s="41" t="str">
        <x:v>P0</x:v>
      </x:c>
      <x:c r="D6" s="41" t="str">
        <x:v>P1</x:v>
      </x:c>
      <x:c r="E6" s="41" t="str">
        <x:v>P2/P3</x:v>
      </x:c>
      <x:c r="F6" s="41" t="str">
        <x:v>Pass</x:v>
      </x:c>
      <x:c r="G6" s="41" t="str">
        <x:v>Fail/Blocked</x:v>
      </x:c>
      <x:c r="H6" s="41" t="str">
        <x:v>Pass Rate</x:v>
      </x:c>
      <x:c r="J6" s="41" t="str">
        <x:v>สถานะ</x:v>
      </x:c>
      <x:c r="K6" s="41" t="str">
        <x:v>จำนวน</x:v>
      </x:c>
    </x:row>
    <x:row r="7">
      <x:c r="A7" s="151" t="str">
        <x:v>LogIn</x:v>
      </x:c>
      <x:c r="B7" s="151" t="n">
        <x:f>COUNTIFS('Test Cases'!$C$7:$C$99,$A7)</x:f>
        <x:v>10</x:v>
      </x:c>
      <x:c r="C7" s="151" t="n">
        <x:f>COUNTIFS('Test Cases'!$C$7:$C$99,$A7,'Test Cases'!$F$7:$F$99,"P0-Critical")</x:f>
        <x:v>5</x:v>
      </x:c>
      <x:c r="D7" s="151" t="n">
        <x:f>COUNTIFS('Test Cases'!$C$7:$C$99,$A7,'Test Cases'!$F$7:$F$99,"P1-High")</x:f>
        <x:v>3</x:v>
      </x:c>
      <x:c r="E7" s="151" t="n">
        <x:f>B7-C7-D7</x:f>
        <x:v>2</x:v>
      </x:c>
      <x:c r="F7" s="151" t="n">
        <x:f>COUNTIFS('Test Cases'!$C$7:$C$99,$A7,'Test Cases'!$N$7:$N$99,"Pass")</x:f>
        <x:v>0</x:v>
      </x:c>
      <x:c r="G7" s="151" t="n">
        <x:f>COUNTIFS('Test Cases'!$C$7:$C$99,$A7,'Test Cases'!$N$7:$N$99,"Fail")+COUNTIFS('Test Cases'!$C$7:$C$99,$A7,'Test Cases'!$N$7:$N$99,"Blocked")</x:f>
        <x:v>0</x:v>
      </x:c>
      <x:c r="H7" s="154" t="n">
        <x:f>IF(B7=0,0,F7/B7)</x:f>
        <x:v>0</x:v>
      </x:c>
      <x:c r="J7" s="158" t="str">
        <x:v>Pass</x:v>
      </x:c>
      <x:c r="K7" s="158" t="n">
        <x:f>D3</x:f>
        <x:v>0</x:v>
      </x:c>
    </x:row>
    <x:row r="8">
      <x:c r="A8" s="152" t="str">
        <x:v>SignIn</x:v>
      </x:c>
      <x:c r="B8" s="152" t="n">
        <x:f>COUNTIFS('Test Cases'!$C$7:$C$99,$A8)</x:f>
        <x:v>13</x:v>
      </x:c>
      <x:c r="C8" s="152" t="n">
        <x:f>COUNTIFS('Test Cases'!$C$7:$C$99,$A8,'Test Cases'!$F$7:$F$99,"P0-Critical")</x:f>
        <x:v>6</x:v>
      </x:c>
      <x:c r="D8" s="152" t="n">
        <x:f>COUNTIFS('Test Cases'!$C$7:$C$99,$A8,'Test Cases'!$F$7:$F$99,"P1-High")</x:f>
        <x:v>6</x:v>
      </x:c>
      <x:c r="E8" s="152" t="n">
        <x:f>B8-C8-D8</x:f>
        <x:v>1</x:v>
      </x:c>
      <x:c r="F8" s="152" t="n">
        <x:f>COUNTIFS('Test Cases'!$C$7:$C$99,$A8,'Test Cases'!$N$7:$N$99,"Pass")</x:f>
        <x:v>0</x:v>
      </x:c>
      <x:c r="G8" s="152" t="n">
        <x:f>COUNTIFS('Test Cases'!$C$7:$C$99,$A8,'Test Cases'!$N$7:$N$99,"Fail")+COUNTIFS('Test Cases'!$C$7:$C$99,$A8,'Test Cases'!$N$7:$N$99,"Blocked")</x:f>
        <x:v>0</x:v>
      </x:c>
      <x:c r="H8" s="155" t="n">
        <x:f>IF(B8=0,0,F8/B8)</x:f>
        <x:v>0</x:v>
      </x:c>
      <x:c r="J8" s="158" t="str">
        <x:v>Fail</x:v>
      </x:c>
      <x:c r="K8" s="158" t="n">
        <x:f>F3</x:f>
        <x:v>0</x:v>
      </x:c>
    </x:row>
    <x:row r="9">
      <x:c r="A9" s="152" t="str">
        <x:v>Main</x:v>
      </x:c>
      <x:c r="B9" s="152" t="n">
        <x:f>COUNTIFS('Test Cases'!$C$7:$C$99,$A9)</x:f>
        <x:v>19</x:v>
      </x:c>
      <x:c r="C9" s="152" t="n">
        <x:f>COUNTIFS('Test Cases'!$C$7:$C$99,$A9,'Test Cases'!$F$7:$F$99,"P0-Critical")</x:f>
        <x:v>10</x:v>
      </x:c>
      <x:c r="D9" s="152" t="n">
        <x:f>COUNTIFS('Test Cases'!$C$7:$C$99,$A9,'Test Cases'!$F$7:$F$99,"P1-High")</x:f>
        <x:v>9</x:v>
      </x:c>
      <x:c r="E9" s="152" t="n">
        <x:f>B9-C9-D9</x:f>
        <x:v>0</x:v>
      </x:c>
      <x:c r="F9" s="152" t="n">
        <x:f>COUNTIFS('Test Cases'!$C$7:$C$99,$A9,'Test Cases'!$N$7:$N$99,"Pass")</x:f>
        <x:v>0</x:v>
      </x:c>
      <x:c r="G9" s="152" t="n">
        <x:f>COUNTIFS('Test Cases'!$C$7:$C$99,$A9,'Test Cases'!$N$7:$N$99,"Fail")+COUNTIFS('Test Cases'!$C$7:$C$99,$A9,'Test Cases'!$N$7:$N$99,"Blocked")</x:f>
        <x:v>0</x:v>
      </x:c>
      <x:c r="H9" s="155" t="n">
        <x:f>IF(B9=0,0,F9/B9)</x:f>
        <x:v>0</x:v>
      </x:c>
      <x:c r="J9" s="158" t="str">
        <x:v>Blocked</x:v>
      </x:c>
      <x:c r="K9" s="158" t="n">
        <x:f>H3</x:f>
        <x:v>0</x:v>
      </x:c>
    </x:row>
    <x:row r="10">
      <x:c r="A10" s="152" t="str">
        <x:v>Score &amp; Homework</x:v>
      </x:c>
      <x:c r="B10" s="152" t="n">
        <x:f>COUNTIFS('Test Cases'!$C$7:$C$99,$A10)</x:f>
        <x:v>20</x:v>
      </x:c>
      <x:c r="C10" s="152" t="n">
        <x:f>COUNTIFS('Test Cases'!$C$7:$C$99,$A10,'Test Cases'!$F$7:$F$99,"P0-Critical")</x:f>
        <x:v>13</x:v>
      </x:c>
      <x:c r="D10" s="152" t="n">
        <x:f>COUNTIFS('Test Cases'!$C$7:$C$99,$A10,'Test Cases'!$F$7:$F$99,"P1-High")</x:f>
        <x:v>7</x:v>
      </x:c>
      <x:c r="E10" s="152" t="n">
        <x:f>B10-C10-D10</x:f>
        <x:v>0</x:v>
      </x:c>
      <x:c r="F10" s="152" t="n">
        <x:f>COUNTIFS('Test Cases'!$C$7:$C$99,$A10,'Test Cases'!$N$7:$N$99,"Pass")</x:f>
        <x:v>0</x:v>
      </x:c>
      <x:c r="G10" s="152" t="n">
        <x:f>COUNTIFS('Test Cases'!$C$7:$C$99,$A10,'Test Cases'!$N$7:$N$99,"Fail")+COUNTIFS('Test Cases'!$C$7:$C$99,$A10,'Test Cases'!$N$7:$N$99,"Blocked")</x:f>
        <x:v>0</x:v>
      </x:c>
      <x:c r="H10" s="155" t="n">
        <x:f>IF(B10=0,0,F10/B10)</x:f>
        <x:v>0</x:v>
      </x:c>
      <x:c r="J10" s="158" t="str">
        <x:v>Not Run</x:v>
      </x:c>
      <x:c r="K10" s="158" t="n">
        <x:f>J3</x:f>
        <x:v>93</x:v>
      </x:c>
    </x:row>
    <x:row r="11">
      <x:c r="A11" s="152" t="str">
        <x:v>Timer</x:v>
      </x:c>
      <x:c r="B11" s="152" t="n">
        <x:f>COUNTIFS('Test Cases'!$C$7:$C$99,$A11)</x:f>
        <x:v>12</x:v>
      </x:c>
      <x:c r="C11" s="152" t="n">
        <x:f>COUNTIFS('Test Cases'!$C$7:$C$99,$A11,'Test Cases'!$F$7:$F$99,"P0-Critical")</x:f>
        <x:v>7</x:v>
      </x:c>
      <x:c r="D11" s="152" t="n">
        <x:f>COUNTIFS('Test Cases'!$C$7:$C$99,$A11,'Test Cases'!$F$7:$F$99,"P1-High")</x:f>
        <x:v>4</x:v>
      </x:c>
      <x:c r="E11" s="152" t="n">
        <x:f>B11-C11-D11</x:f>
        <x:v>1</x:v>
      </x:c>
      <x:c r="F11" s="152" t="n">
        <x:f>COUNTIFS('Test Cases'!$C$7:$C$99,$A11,'Test Cases'!$N$7:$N$99,"Pass")</x:f>
        <x:v>0</x:v>
      </x:c>
      <x:c r="G11" s="152" t="n">
        <x:f>COUNTIFS('Test Cases'!$C$7:$C$99,$A11,'Test Cases'!$N$7:$N$99,"Fail")+COUNTIFS('Test Cases'!$C$7:$C$99,$A11,'Test Cases'!$N$7:$N$99,"Blocked")</x:f>
        <x:v>0</x:v>
      </x:c>
      <x:c r="H11" s="155" t="n">
        <x:f>IF(B11=0,0,F11/B11)</x:f>
        <x:v>0</x:v>
      </x:c>
    </x:row>
    <x:row r="12">
      <x:c r="A12" s="153" t="str">
        <x:v>Test</x:v>
      </x:c>
      <x:c r="B12" s="153" t="n">
        <x:f>COUNTIFS('Test Cases'!$C$7:$C$99,$A12)</x:f>
        <x:v>19</x:v>
      </x:c>
      <x:c r="C12" s="153" t="n">
        <x:f>COUNTIFS('Test Cases'!$C$7:$C$99,$A12,'Test Cases'!$F$7:$F$99,"P0-Critical")</x:f>
        <x:v>12</x:v>
      </x:c>
      <x:c r="D12" s="153" t="n">
        <x:f>COUNTIFS('Test Cases'!$C$7:$C$99,$A12,'Test Cases'!$F$7:$F$99,"P1-High")</x:f>
        <x:v>6</x:v>
      </x:c>
      <x:c r="E12" s="153" t="n">
        <x:f>B12-C12-D12</x:f>
        <x:v>1</x:v>
      </x:c>
      <x:c r="F12" s="153" t="n">
        <x:f>COUNTIFS('Test Cases'!$C$7:$C$99,$A12,'Test Cases'!$N$7:$N$99,"Pass")</x:f>
        <x:v>0</x:v>
      </x:c>
      <x:c r="G12" s="153" t="n">
        <x:f>COUNTIFS('Test Cases'!$C$7:$C$99,$A12,'Test Cases'!$N$7:$N$99,"Fail")+COUNTIFS('Test Cases'!$C$7:$C$99,$A12,'Test Cases'!$N$7:$N$99,"Blocked")</x:f>
        <x:v>0</x:v>
      </x:c>
      <x:c r="H12" s="156" t="n">
        <x:f>IF(B12=0,0,F12/B12)</x:f>
        <x:v>0</x:v>
      </x:c>
    </x:row>
  </x:sheetData>
  <x:mergeCells>
    <x:mergeCell ref="A1:K1"/>
    <x:mergeCell ref="A2:K2"/>
  </x:mergeCells>
  <x:conditionalFormatting sqref="H7:H12">
    <x:cfRule type="colorScale" priority="1">
      <x:colorScale>
        <x:cfvo type="min"/>
        <x:cfvo type="percentile" val="50"/>
        <x:cfvo type="max"/>
        <x:color rgb="FFFFD7DC"/>
        <x:color rgb="FFFFE6A3"/>
        <x:color rgb="FFCBE8A9"/>
      </x:colorScale>
    </x:cfRule>
  </x:conditionalFormatting>
  <x:pageMargins left="0.7" right="0.7" top="0.75" bottom="0.75" header="0.3" footer="0.3"/>
  <x:drawing xmlns:r="http://schemas.openxmlformats.org/officeDocument/2006/relationships" r:id="R378697e6004d43c9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22" hidden="0" customWidth="1"/>
    <x:col min="5" max="5" width="22" hidden="0" customWidth="1"/>
    <x:col min="6" max="6" width="24" hidden="0" customWidth="1"/>
    <x:col min="7" max="7" width="30" hidden="0" customWidth="1"/>
    <x:col min="8" max="8" width="18" hidden="0" customWidth="1"/>
  </x:cols>
  <x:sheetData>
    <x:row r="1" ht="34" customHeight="1">
      <x:c r="A1" s="9" t="str">
        <x:v>Planentrix — Web User Test Data</x:v>
      </x:c>
      <x:c r="B1" s="10" t="str">
        <x:v>Planentrix — Web User Test Data</x:v>
      </x:c>
      <x:c r="C1" s="10" t="str">
        <x:v>Planentrix — Web User Test Data</x:v>
      </x:c>
      <x:c r="D1" s="10" t="str">
        <x:v>Planentrix — Web User Test Data</x:v>
      </x:c>
      <x:c r="E1" s="10" t="str">
        <x:v>Planentrix — Web User Test Data</x:v>
      </x:c>
      <x:c r="F1" s="10" t="str">
        <x:v>Planentrix — Web User Test Data</x:v>
      </x:c>
      <x:c r="G1" s="10" t="str">
        <x:v>Planentrix — Web User Test Data</x:v>
      </x:c>
      <x:c r="H1" s="11" t="str">
        <x:v>Planentrix — Web User Test Data</x:v>
      </x:c>
    </x:row>
    <x:row r="2" ht="24" customHeight="1">
      <x:c r="A2" s="15" t="str">
        <x:v>ข้อมูลจำลองและ Business Rules สำหรับทดสอบเฉพาะเว็บส่วนผู้ใช้ ห้ามใช้ข้อมูลจริง</x:v>
      </x:c>
      <x:c r="B2" s="15" t="str">
        <x:v>ข้อมูลจำลองและ Business Rules สำหรับทดสอบเฉพาะเว็บส่วนผู้ใช้ ห้ามใช้ข้อมูลจริง</x:v>
      </x:c>
      <x:c r="C2" s="15" t="str">
        <x:v>ข้อมูลจำลองและ Business Rules สำหรับทดสอบเฉพาะเว็บส่วนผู้ใช้ ห้ามใช้ข้อมูลจริง</x:v>
      </x:c>
      <x:c r="D2" s="15" t="str">
        <x:v>ข้อมูลจำลองและ Business Rules สำหรับทดสอบเฉพาะเว็บส่วนผู้ใช้ ห้ามใช้ข้อมูลจริง</x:v>
      </x:c>
      <x:c r="E2" s="15" t="str">
        <x:v>ข้อมูลจำลองและ Business Rules สำหรับทดสอบเฉพาะเว็บส่วนผู้ใช้ ห้ามใช้ข้อมูลจริง</x:v>
      </x:c>
      <x:c r="F2" s="15" t="str">
        <x:v>ข้อมูลจำลองและ Business Rules สำหรับทดสอบเฉพาะเว็บส่วนผู้ใช้ ห้ามใช้ข้อมูลจริง</x:v>
      </x:c>
      <x:c r="G2" s="15" t="str">
        <x:v>ข้อมูลจำลองและ Business Rules สำหรับทดสอบเฉพาะเว็บส่วนผู้ใช้ ห้ามใช้ข้อมูลจริง</x:v>
      </x:c>
      <x:c r="H2" s="15" t="str">
        <x:v>ข้อมูลจำลองและ Business Rules สำหรับทดสอบเฉพาะเว็บส่วนผู้ใช้ ห้ามใช้ข้อมูลจริง</x:v>
      </x:c>
    </x:row>
    <x:row r="4" ht="25" customHeight="1">
      <x:c r="A4" s="35" t="str">
        <x:v>บัญชีทดสอบ</x:v>
      </x:c>
      <x:c r="B4" s="35" t="str">
        <x:v>บัญชีทดสอบ</x:v>
      </x:c>
      <x:c r="C4" s="35" t="str">
        <x:v>บัญชีทดสอบ</x:v>
      </x:c>
      <x:c r="D4" s="35" t="str">
        <x:v>บัญชีทดสอบ</x:v>
      </x:c>
      <x:c r="E4" s="35" t="str">
        <x:v>บัญชีทดสอบ</x:v>
      </x:c>
      <x:c r="F4" s="35" t="str">
        <x:v>บัญชีทดสอบ</x:v>
      </x:c>
      <x:c r="G4" s="35" t="str">
        <x:v>บัญชีทดสอบ</x:v>
      </x:c>
      <x:c r="H4" s="35" t="str">
        <x:v>บัญชีทดสอบ</x:v>
      </x:c>
    </x:row>
    <x:row r="5">
      <x:c r="A5" s="94" t="str">
        <x:v>Data ID</x:v>
      </x:c>
      <x:c r="B5" s="94" t="str">
        <x:v>Role</x:v>
      </x:c>
      <x:c r="C5" s="94" t="str">
        <x:v>Username</x:v>
      </x:c>
      <x:c r="D5" s="94" t="str">
        <x:v>Password</x:v>
      </x:c>
      <x:c r="E5" s="94" t="str">
        <x:v>State</x:v>
      </x:c>
      <x:c r="F5" s="94" t="str">
        <x:v>ข้อมูลประกอบ</x:v>
      </x:c>
      <x:c r="G5" s="94" t="str">
        <x:v>หมายเหตุ</x:v>
      </x:c>
      <x:c r="H5" s="97"/>
    </x:row>
    <x:row r="6">
      <x:c r="A6" s="95" t="str">
        <x:v>USER_VALID</x:v>
      </x:c>
      <x:c r="B6" s="96" t="str">
        <x:v>User</x:v>
      </x:c>
      <x:c r="C6" s="96" t="str">
        <x:v>qa_user_01</x:v>
      </x:c>
      <x:c r="D6" s="96" t="str">
        <x:v>Qa@123456</x:v>
      </x:c>
      <x:c r="E6" s="96" t="str">
        <x:v>Active</x:v>
      </x:c>
      <x:c r="F6" s="96" t="str">
        <x:v>มีเทอม/ข้อมูลครบ</x:v>
      </x:c>
      <x:c r="G6" s="96" t="str">
        <x:v>บัญชีจำลอง</x:v>
      </x:c>
      <x:c r="H6" s="97"/>
    </x:row>
    <x:row r="7">
      <x:c r="A7" s="95" t="str">
        <x:v>USER_NEW</x:v>
      </x:c>
      <x:c r="B7" s="96" t="str">
        <x:v>User</x:v>
      </x:c>
      <x:c r="C7" s="96" t="str">
        <x:v>qa_web_new</x:v>
      </x:c>
      <x:c r="D7" s="96" t="str">
        <x:v>Qa@123456</x:v>
      </x:c>
      <x:c r="E7" s="96" t="str">
        <x:v>ยังไม่สมัคร</x:v>
      </x:c>
      <x:c r="F7" s="96" t="str">
        <x:v>ไม่มีข้อมูล</x:v>
      </x:c>
      <x:c r="G7" s="96" t="str">
        <x:v>เปลี่ยน suffix ทุกครั้ง</x:v>
      </x:c>
      <x:c r="H7" s="97"/>
    </x:row>
    <x:row r="8">
      <x:c r="A8" s="95" t="str">
        <x:v>USER_DUPLICATE</x:v>
      </x:c>
      <x:c r="B8" s="96" t="str">
        <x:v>User</x:v>
      </x:c>
      <x:c r="C8" s="96" t="str">
        <x:v>qa_user_01</x:v>
      </x:c>
      <x:c r="D8" s="96" t="str">
        <x:v>Qa@123456</x:v>
      </x:c>
      <x:c r="E8" s="96" t="str">
        <x:v>Active</x:v>
      </x:c>
      <x:c r="F8" s="96" t="str">
        <x:v>Username ซ้ำ</x:v>
      </x:c>
      <x:c r="G8" s="96" t="str">
        <x:v>ทดสอบ SignIn</x:v>
      </x:c>
      <x:c r="H8" s="97"/>
    </x:row>
    <x:row r="9">
      <x:c r="A9" s="95" t="str">
        <x:v>USER_INVALID_PASSWORD</x:v>
      </x:c>
      <x:c r="B9" s="96" t="str">
        <x:v>User</x:v>
      </x:c>
      <x:c r="C9" s="96" t="str">
        <x:v>qa_user_01</x:v>
      </x:c>
      <x:c r="D9" s="96" t="str">
        <x:v>Wrong@123</x:v>
      </x:c>
      <x:c r="E9" s="96" t="str">
        <x:v>Active</x:v>
      </x:c>
      <x:c r="F9" s="96" t="str">
        <x:v>รหัสผ่านผิด</x:v>
      </x:c>
      <x:c r="G9" s="96" t="str">
        <x:v>ทดสอบข้อความผิดพลาด</x:v>
      </x:c>
      <x:c r="H9" s="97"/>
    </x:row>
    <x:row r="10">
      <x:c r="A10" s="95" t="str">
        <x:v>NO_TOKEN</x:v>
      </x:c>
      <x:c r="B10" s="96" t="str">
        <x:v>User</x:v>
      </x:c>
      <x:c r="C10" s="96" t="str">
        <x:v>-</x:v>
      </x:c>
      <x:c r="D10" s="96" t="str">
        <x:v>-</x:v>
      </x:c>
      <x:c r="E10" s="96" t="str">
        <x:v>ไม่มี session</x:v>
      </x:c>
      <x:c r="F10" s="96" t="str">
        <x:v>ไม่มี token</x:v>
      </x:c>
      <x:c r="G10" s="96" t="str">
        <x:v>ล้าง cookie/storage</x:v>
      </x:c>
      <x:c r="H10" s="97"/>
    </x:row>
    <x:row r="11">
      <x:c r="A11" s="95"/>
      <x:c r="B11" s="96"/>
      <x:c r="C11" s="96"/>
      <x:c r="D11" s="96"/>
      <x:c r="E11" s="96"/>
      <x:c r="F11" s="96"/>
      <x:c r="G11" s="96"/>
      <x:c r="H11" s="97"/>
    </x:row>
    <x:row r="12" ht="25" customHeight="1">
      <x:c r="A12" s="98" t="str">
        <x:v>Business States</x:v>
      </x:c>
      <x:c r="B12" s="99" t="str">
        <x:v>Business States</x:v>
      </x:c>
      <x:c r="C12" s="99" t="str">
        <x:v>Business States</x:v>
      </x:c>
      <x:c r="D12" s="99" t="str">
        <x:v>Business States</x:v>
      </x:c>
      <x:c r="E12" s="99" t="str">
        <x:v>Business States</x:v>
      </x:c>
      <x:c r="F12" s="99" t="str">
        <x:v>Business States</x:v>
      </x:c>
      <x:c r="G12" s="99" t="str">
        <x:v>Business States</x:v>
      </x:c>
      <x:c r="H12" s="100" t="str">
        <x:v>Business States</x:v>
      </x:c>
    </x:row>
    <x:row r="13">
      <x:c r="A13" s="94" t="str">
        <x:v>Data ID</x:v>
      </x:c>
      <x:c r="B13" s="94" t="str">
        <x:v>สถานะ</x:v>
      </x:c>
      <x:c r="C13" s="94" t="str">
        <x:v>ผลที่คาดหวัง/วัตถุประสงค์</x:v>
      </x:c>
      <x:c r="D13" s="96"/>
      <x:c r="E13" s="96"/>
      <x:c r="F13" s="96"/>
      <x:c r="G13" s="96"/>
      <x:c r="H13" s="97"/>
    </x:row>
    <x:row r="14">
      <x:c r="A14" s="95" t="str">
        <x:v>NO_CURRENT_TERM</x:v>
      </x:c>
      <x:c r="B14" s="96" t="str">
        <x:v>ไม่มีเทอม</x:v>
      </x:c>
      <x:c r="C14" s="96" t="str">
        <x:v>Main ให้สร้างเทอมและหน้าที่พึ่งเทอมแสดง shared state</x:v>
      </x:c>
      <x:c r="D14" s="96"/>
      <x:c r="E14" s="96"/>
      <x:c r="F14" s="96"/>
      <x:c r="G14" s="96"/>
      <x:c r="H14" s="97"/>
    </x:row>
    <x:row r="15">
      <x:c r="A15" s="95" t="str">
        <x:v>TERM_EMPTY_SCHEDULE</x:v>
      </x:c>
      <x:c r="B15" s="96" t="str">
        <x:v>มีเทอม/ไม่มีตาราง</x:v>
      </x:c>
      <x:c r="C15" s="96" t="str">
        <x:v>แสดง schedule empty state</x:v>
      </x:c>
      <x:c r="D15" s="96"/>
      <x:c r="E15" s="96"/>
      <x:c r="F15" s="96"/>
      <x:c r="G15" s="96"/>
      <x:c r="H15" s="97"/>
    </x:row>
    <x:row r="16">
      <x:c r="A16" s="95" t="str">
        <x:v>TERM_NO_WORKLOAD</x:v>
      </x:c>
      <x:c r="B16" s="96" t="str">
        <x:v>มีเทอม/ไม่เคยมีงาน</x:v>
      </x:c>
      <x:c r="C16" s="96" t="str">
        <x:v>Homework มีเฉพาะปุ่ม Add</x:v>
      </x:c>
      <x:c r="D16" s="96"/>
      <x:c r="E16" s="96"/>
      <x:c r="F16" s="96"/>
      <x:c r="G16" s="96"/>
      <x:c r="H16" s="97"/>
    </x:row>
    <x:row r="17">
      <x:c r="A17" s="95" t="str">
        <x:v>TERM_ALL_COMPLETED</x:v>
      </x:c>
      <x:c r="B17" s="96" t="str">
        <x:v>มีเทอม/ส่งครบ</x:v>
      </x:c>
      <x:c r="C17" s="96" t="str">
        <x:v>Homework แสดง completion state</x:v>
      </x:c>
      <x:c r="D17" s="96"/>
      <x:c r="E17" s="96"/>
      <x:c r="F17" s="96"/>
      <x:c r="G17" s="96"/>
      <x:c r="H17" s="97"/>
    </x:row>
    <x:row r="18">
      <x:c r="A18" s="95" t="str">
        <x:v>ACTIVE_SESSION</x:v>
      </x:c>
      <x:c r="B18" s="96" t="str">
        <x:v>Timer กำลังทำงาน</x:v>
      </x:c>
      <x:c r="C18" s="96" t="str">
        <x:v>แสดง Recovery modal</x:v>
      </x:c>
      <x:c r="D18" s="96"/>
      <x:c r="E18" s="96"/>
      <x:c r="F18" s="96"/>
      <x:c r="G18" s="96"/>
      <x:c r="H18" s="97"/>
    </x:row>
    <x:row r="19">
      <x:c r="A19" s="95" t="str">
        <x:v>EXAM_BI_10Q</x:v>
      </x:c>
      <x:c r="B19" s="96" t="str">
        <x:v>ข้อสอบ BI 10 ข้อ 15 นาที</x:v>
      </x:c>
      <x:c r="C19" s="96" t="str">
        <x:v>ทดสอบ Test/Feedback/History</x:v>
      </x:c>
      <x:c r="D19" s="96"/>
      <x:c r="E19" s="96"/>
      <x:c r="F19" s="96"/>
      <x:c r="G19" s="96"/>
      <x:c r="H19" s="97"/>
    </x:row>
    <x:row r="20">
      <x:c r="A20" s="95"/>
      <x:c r="B20" s="96"/>
      <x:c r="C20" s="96"/>
      <x:c r="D20" s="96"/>
      <x:c r="E20" s="96"/>
      <x:c r="F20" s="96"/>
      <x:c r="G20" s="96"/>
      <x:c r="H20" s="97"/>
    </x:row>
    <x:row r="21" ht="25" customHeight="1">
      <x:c r="A21" s="101" t="str">
        <x:v>Business Rules สำคัญ</x:v>
      </x:c>
      <x:c r="B21" s="102" t="str">
        <x:v>Business Rules สำคัญ</x:v>
      </x:c>
      <x:c r="C21" s="102" t="str">
        <x:v>Business Rules สำคัญ</x:v>
      </x:c>
      <x:c r="D21" s="102" t="str">
        <x:v>Business Rules สำคัญ</x:v>
      </x:c>
      <x:c r="E21" s="102" t="str">
        <x:v>Business Rules สำคัญ</x:v>
      </x:c>
      <x:c r="F21" s="102" t="str">
        <x:v>Business Rules สำคัญ</x:v>
      </x:c>
      <x:c r="G21" s="102" t="str">
        <x:v>Business Rules สำคัญ</x:v>
      </x:c>
      <x:c r="H21" s="103" t="str">
        <x:v>Business Rules สำคัญ</x:v>
      </x:c>
    </x:row>
    <x:row r="22">
      <x:c r="A22" s="94" t="str">
        <x:v>Rule ID</x:v>
      </x:c>
      <x:c r="B22" s="94" t="str">
        <x:v>หัวข้อ</x:v>
      </x:c>
      <x:c r="C22" s="94" t="str">
        <x:v>กติกา</x:v>
      </x:c>
      <x:c r="D22" s="94" t="str">
        <x:v>Boundary 1</x:v>
      </x:c>
      <x:c r="E22" s="94" t="str">
        <x:v>Boundary 2</x:v>
      </x:c>
      <x:c r="F22" s="94" t="str">
        <x:v>Boundary 3</x:v>
      </x:c>
      <x:c r="G22" s="94" t="str">
        <x:v>Priority</x:v>
      </x:c>
      <x:c r="H22" s="97"/>
    </x:row>
    <x:row r="23">
      <x:c r="A23" s="95" t="str">
        <x:v>RULE-AUTH</x:v>
      </x:c>
      <x:c r="B23" s="96" t="str">
        <x:v>Session</x:v>
      </x:c>
      <x:c r="C23" s="96" t="str">
        <x:v>ผู้ใช้ที่ไม่มี session หรือ refresh ไม่สำเร็จต้องเข้า protected page ไม่ได้</x:v>
      </x:c>
      <x:c r="D23" s="96" t="str">
        <x:v>No token</x:v>
      </x:c>
      <x:c r="E23" s="96" t="str">
        <x:v>Expired token</x:v>
      </x:c>
      <x:c r="F23" s="96" t="str">
        <x:v>Logout</x:v>
      </x:c>
      <x:c r="G23" s="96" t="str">
        <x:v>P0</x:v>
      </x:c>
      <x:c r="H23" s="97"/>
    </x:row>
    <x:row r="24">
      <x:c r="A24" s="95" t="str">
        <x:v>RULE-TIME</x:v>
      </x:c>
      <x:c r="B24" s="96" t="str">
        <x:v>เวลา</x:v>
      </x:c>
      <x:c r="C24" s="96" t="str">
        <x:v>UI และ payload ใช้เวลา 24 ชั่วโมง HH:mm และ timezone Asia/Bangkok</x:v>
      </x:c>
      <x:c r="D24" s="96" t="str">
        <x:v>00:00</x:v>
      </x:c>
      <x:c r="E24" s="96" t="str">
        <x:v>17:05</x:v>
      </x:c>
      <x:c r="F24" s="96" t="str">
        <x:v>23:59</x:v>
      </x:c>
      <x:c r="G24" s="96" t="str">
        <x:v>P0</x:v>
      </x:c>
      <x:c r="H24" s="97"/>
    </x:row>
    <x:row r="25">
      <x:c r="A25" s="95" t="str">
        <x:v>RULE-GRADE</x:v>
      </x:c>
      <x:c r="B25" s="96" t="str">
        <x:v>เกรด</x:v>
      </x:c>
      <x:c r="C25" s="96" t="str">
        <x:v>A&gt;=80, B+&gt;=75, B&gt;=70, C+&gt;=65, C&gt;=60, D+&gt;=55, D&gt;=50, F&lt;50</x:v>
      </x:c>
      <x:c r="D25" s="96" t="str">
        <x:v>80=A</x:v>
      </x:c>
      <x:c r="E25" s="96" t="str">
        <x:v>50=D</x:v>
      </x:c>
      <x:c r="F25" s="96" t="str">
        <x:v>49.99=F</x:v>
      </x:c>
      <x:c r="G25" s="96" t="str">
        <x:v>P0</x:v>
      </x:c>
      <x:c r="H25" s="97"/>
    </x:row>
    <x:row r="26">
      <x:c r="A26" s="95" t="str">
        <x:v>RULE-SCORE</x:v>
      </x:c>
      <x:c r="B26" s="96" t="str">
        <x:v>คะแนน</x:v>
      </x:c>
      <x:c r="C26" s="96" t="str">
        <x:v>คะแนนสะสมต่อวิชาไม่เกิน 100 และคะแนนงานอยู่ระหว่าง 0 ถึงคะแนนเต็ม</x:v>
      </x:c>
      <x:c r="D26" s="96" t="str">
        <x:v>0</x:v>
      </x:c>
      <x:c r="E26" s="96" t="str">
        <x:v>100</x:v>
      </x:c>
      <x:c r="F26" s="96" t="str">
        <x:v>&gt;100 reject</x:v>
      </x:c>
      <x:c r="G26" s="96" t="str">
        <x:v>P0</x:v>
      </x:c>
      <x:c r="H26" s="97"/>
    </x:row>
    <x:row r="27">
      <x:c r="A27" s="95" t="str">
        <x:v>RULE-WEAK</x:v>
      </x:c>
      <x:c r="B27" s="96" t="str">
        <x:v>เรื่องอ่อน</x:v>
      </x:c>
      <x:c r="C27" s="96" t="str">
        <x:v>เปอร์เซ็นต์ต่ำกว่า 50 เป็น weak; Feedback แสดง 3 เรื่อง; History แสดงเรื่องอ่อนที่สุด 1 เรื่อง</x:v>
      </x:c>
      <x:c r="D27" s="96" t="str">
        <x:v>49.99 weak</x:v>
      </x:c>
      <x:c r="E27" s="96" t="str">
        <x:v>50 not weak</x:v>
      </x:c>
      <x:c r="F27" s="96" t="str">
        <x:v>Top 3 / Top 1</x:v>
      </x:c>
      <x:c r="G27" s="96" t="str">
        <x:v>P0</x:v>
      </x:c>
      <x:c r="H27" s="97"/>
    </x:row>
    <x:row r="28">
      <x:c r="A28" s="95" t="str">
        <x:v>RULE-SUBJECT</x:v>
      </x:c>
      <x:c r="B28" s="96" t="str">
        <x:v>รายวิชา</x:v>
      </x:c>
      <x:c r="C28" s="96" t="str">
        <x:v>วิชาสำหรับ Homework ดึงจาก schedule_type_id=1 เท่านั้น</x:v>
      </x:c>
      <x:c r="D28" s="96" t="str">
        <x:v>1 include</x:v>
      </x:c>
      <x:c r="E28" s="96" t="str">
        <x:v>2 exclude</x:v>
      </x:c>
      <x:c r="F28" s="96" t="str">
        <x:v>3 exclude</x:v>
      </x:c>
      <x:c r="G28" s="96" t="str">
        <x:v>P0</x:v>
      </x:c>
      <x:c r="H28" s="97"/>
    </x:row>
    <x:row r="29">
      <x:c r="A29" s="95" t="str">
        <x:v>RULE-HW</x:v>
      </x:c>
      <x:c r="B29" s="96" t="str">
        <x:v>Homework empty</x:v>
      </x:c>
      <x:c r="C29" s="96" t="str">
        <x:v>ไม่มีเทอม=ห้ามเพิ่ม; เทอมใหม่=มีเฉพาะ Add; เคยมีและส่งครบ=completion state</x:v>
      </x:c>
      <x:c r="D29" s="96" t="str">
        <x:v>No term</x:v>
      </x:c>
      <x:c r="E29" s="96" t="str">
        <x:v>Never created</x:v>
      </x:c>
      <x:c r="F29" s="96" t="str">
        <x:v>All completed</x:v>
      </x:c>
      <x:c r="G29" s="96" t="str">
        <x:v>P0</x:v>
      </x:c>
      <x:c r="H29" s="97"/>
    </x:row>
    <x:row r="30">
      <x:c r="A30" s="95" t="str">
        <x:v>RULE-GOAL</x:v>
      </x:c>
      <x:c r="B30" s="96" t="str">
        <x:v>เป้าหมายเกรด</x:v>
      </x:c>
      <x:c r="C30" s="96" t="str">
        <x:v>ต้องเลือกก่อนแสดง Score และแก้ไม่ได้หลังบันทึก</x:v>
      </x:c>
      <x:c r="D30" s="96" t="str">
        <x:v>No goal</x:v>
      </x:c>
      <x:c r="E30" s="96" t="str">
        <x:v>Save once</x:v>
      </x:c>
      <x:c r="F30" s="96" t="str">
        <x:v>Reload</x:v>
      </x:c>
      <x:c r="G30" s="96" t="str">
        <x:v>P0</x:v>
      </x:c>
      <x:c r="H30" s="97"/>
    </x:row>
    <x:row r="31">
      <x:c r="A31" s="95" t="str">
        <x:v>RULE-CHECKPOINT</x:v>
      </x:c>
      <x:c r="B31" s="96" t="str">
        <x:v>Checkpoint</x:v>
      </x:c>
      <x:c r="C31" s="96" t="str">
        <x:v>ส่งข้อสอบแล้วข้อสอบหายจนถึงรอบถัดไป และความถี่สัมพันธ์กับจำนวนเรื่องอ่อน</x:v>
      </x:c>
      <x:c r="D31" s="96" t="str">
        <x:v>Before due</x:v>
      </x:c>
      <x:c r="E31" s="96" t="str">
        <x:v>At due</x:v>
      </x:c>
      <x:c r="F31" s="96" t="str">
        <x:v>After due</x:v>
      </x:c>
      <x:c r="G31" s="96" t="str">
        <x:v>P0</x:v>
      </x:c>
      <x:c r="H31" s="97"/>
    </x:row>
    <x:row r="32">
      <x:c r="A32" s="95"/>
      <x:c r="B32" s="96"/>
      <x:c r="C32" s="96"/>
      <x:c r="D32" s="96"/>
      <x:c r="E32" s="96"/>
      <x:c r="F32" s="96"/>
      <x:c r="G32" s="96"/>
      <x:c r="H32" s="97"/>
    </x:row>
    <x:row r="33" ht="25" customHeight="1">
      <x:c r="A33" s="104" t="str">
        <x:v>รายการสำหรับกรอกผล</x:v>
      </x:c>
      <x:c r="B33" s="105" t="str">
        <x:v>รายการสำหรับกรอกผล</x:v>
      </x:c>
      <x:c r="C33" s="105" t="str">
        <x:v>รายการสำหรับกรอกผล</x:v>
      </x:c>
      <x:c r="D33" s="105" t="str">
        <x:v>รายการสำหรับกรอกผล</x:v>
      </x:c>
      <x:c r="E33" s="105" t="str">
        <x:v>รายการสำหรับกรอกผล</x:v>
      </x:c>
      <x:c r="F33" s="105" t="str">
        <x:v>รายการสำหรับกรอกผล</x:v>
      </x:c>
      <x:c r="G33" s="105" t="str">
        <x:v>รายการสำหรับกรอกผล</x:v>
      </x:c>
      <x:c r="H33" s="106" t="str">
        <x:v>รายการสำหรับกรอกผล</x:v>
      </x:c>
    </x:row>
    <x:row r="34">
      <x:c r="A34" s="94" t="str">
        <x:v>Status</x:v>
      </x:c>
      <x:c r="B34" s="94" t="str">
        <x:v>Priority</x:v>
      </x:c>
      <x:c r="C34" s="94" t="str">
        <x:v>Severity</x:v>
      </x:c>
      <x:c r="D34" s="94" t="str">
        <x:v>Test Type</x:v>
      </x:c>
      <x:c r="E34" s="96"/>
      <x:c r="F34" s="96"/>
      <x:c r="G34" s="96"/>
      <x:c r="H34" s="97"/>
    </x:row>
    <x:row r="35">
      <x:c r="A35" s="95" t="str">
        <x:v>Not Run</x:v>
      </x:c>
      <x:c r="B35" s="96" t="str">
        <x:v>P0-Critical</x:v>
      </x:c>
      <x:c r="C35" s="96" t="str">
        <x:v>S1-Blocker</x:v>
      </x:c>
      <x:c r="D35" s="96" t="str">
        <x:v>Smoke</x:v>
      </x:c>
      <x:c r="E35" s="96"/>
      <x:c r="F35" s="96"/>
      <x:c r="G35" s="96"/>
      <x:c r="H35" s="97"/>
    </x:row>
    <x:row r="36">
      <x:c r="A36" s="95" t="str">
        <x:v>Pass</x:v>
      </x:c>
      <x:c r="B36" s="96" t="str">
        <x:v>P1-High</x:v>
      </x:c>
      <x:c r="C36" s="96" t="str">
        <x:v>S2-Major</x:v>
      </x:c>
      <x:c r="D36" s="96" t="str">
        <x:v>Functional</x:v>
      </x:c>
      <x:c r="E36" s="96"/>
      <x:c r="F36" s="96"/>
      <x:c r="G36" s="96"/>
      <x:c r="H36" s="97"/>
    </x:row>
    <x:row r="37">
      <x:c r="A37" s="95" t="str">
        <x:v>Fail</x:v>
      </x:c>
      <x:c r="B37" s="96" t="str">
        <x:v>P2-Medium</x:v>
      </x:c>
      <x:c r="C37" s="96" t="str">
        <x:v>S3-Minor</x:v>
      </x:c>
      <x:c r="D37" s="96" t="str">
        <x:v>Validation</x:v>
      </x:c>
      <x:c r="E37" s="96"/>
      <x:c r="F37" s="96"/>
      <x:c r="G37" s="96"/>
      <x:c r="H37" s="97"/>
    </x:row>
    <x:row r="38">
      <x:c r="A38" s="95" t="str">
        <x:v>Blocked</x:v>
      </x:c>
      <x:c r="B38" s="96" t="str">
        <x:v>P3-Low</x:v>
      </x:c>
      <x:c r="C38" s="96" t="str">
        <x:v>S4-Cosmetic</x:v>
      </x:c>
      <x:c r="D38" s="96" t="str">
        <x:v>Negative</x:v>
      </x:c>
      <x:c r="E38" s="96"/>
      <x:c r="F38" s="96"/>
      <x:c r="G38" s="96"/>
      <x:c r="H38" s="97"/>
    </x:row>
    <x:row r="39">
      <x:c r="A39" s="95"/>
      <x:c r="B39" s="96"/>
      <x:c r="C39" s="96"/>
      <x:c r="D39" s="96" t="str">
        <x:v>End-to-End</x:v>
      </x:c>
      <x:c r="E39" s="96"/>
      <x:c r="F39" s="96"/>
      <x:c r="G39" s="96"/>
      <x:c r="H39" s="97"/>
    </x:row>
    <x:row r="40">
      <x:c r="A40" s="95"/>
      <x:c r="B40" s="96"/>
      <x:c r="C40" s="96"/>
      <x:c r="D40" s="96" t="str">
        <x:v>Integration</x:v>
      </x:c>
      <x:c r="E40" s="96"/>
      <x:c r="F40" s="96"/>
      <x:c r="G40" s="96"/>
      <x:c r="H40" s="97"/>
    </x:row>
    <x:row r="41">
      <x:c r="A41" s="95"/>
      <x:c r="B41" s="96"/>
      <x:c r="C41" s="96"/>
      <x:c r="D41" s="96" t="str">
        <x:v>UI/UX</x:v>
      </x:c>
      <x:c r="E41" s="96"/>
      <x:c r="F41" s="96"/>
      <x:c r="G41" s="96"/>
      <x:c r="H41" s="97"/>
    </x:row>
    <x:row r="42">
      <x:c r="A42" s="95"/>
      <x:c r="B42" s="96"/>
      <x:c r="C42" s="96"/>
      <x:c r="D42" s="96" t="str">
        <x:v>Navigation</x:v>
      </x:c>
      <x:c r="E42" s="96"/>
      <x:c r="F42" s="96"/>
      <x:c r="G42" s="96"/>
      <x:c r="H42" s="97"/>
    </x:row>
    <x:row r="43">
      <x:c r="A43" s="95"/>
      <x:c r="B43" s="96"/>
      <x:c r="C43" s="96"/>
      <x:c r="D43" s="96" t="str">
        <x:v>Accessibility</x:v>
      </x:c>
      <x:c r="E43" s="96"/>
      <x:c r="F43" s="96"/>
      <x:c r="G43" s="96"/>
      <x:c r="H43" s="97"/>
    </x:row>
    <x:row r="44">
      <x:c r="A44" s="95"/>
      <x:c r="B44" s="96"/>
      <x:c r="C44" s="96"/>
      <x:c r="D44" s="96" t="str">
        <x:v>Compatibility</x:v>
      </x:c>
      <x:c r="E44" s="96"/>
      <x:c r="F44" s="96"/>
      <x:c r="G44" s="96"/>
      <x:c r="H44" s="97"/>
    </x:row>
    <x:row r="45">
      <x:c r="A45" s="95"/>
      <x:c r="B45" s="96"/>
      <x:c r="C45" s="96"/>
      <x:c r="D45" s="96" t="str">
        <x:v>Security</x:v>
      </x:c>
      <x:c r="E45" s="96"/>
      <x:c r="F45" s="96"/>
      <x:c r="G45" s="96"/>
      <x:c r="H45" s="97"/>
    </x:row>
    <x:row r="46">
      <x:c r="A46" s="95"/>
      <x:c r="B46" s="96"/>
      <x:c r="C46" s="96"/>
      <x:c r="D46" s="96" t="str">
        <x:v>Recovery</x:v>
      </x:c>
      <x:c r="E46" s="96"/>
      <x:c r="F46" s="96"/>
      <x:c r="G46" s="96"/>
      <x:c r="H46" s="97"/>
    </x:row>
    <x:row r="47">
      <x:c r="A47" s="95"/>
      <x:c r="B47" s="96"/>
      <x:c r="C47" s="96"/>
      <x:c r="D47" s="96" t="str">
        <x:v>Reliability</x:v>
      </x:c>
      <x:c r="E47" s="96"/>
      <x:c r="F47" s="96"/>
      <x:c r="G47" s="96"/>
      <x:c r="H47" s="97"/>
    </x:row>
    <x:row r="48">
      <x:c r="A48" s="95"/>
      <x:c r="B48" s="96"/>
      <x:c r="C48" s="96"/>
      <x:c r="D48" s="96" t="str">
        <x:v>Calculation</x:v>
      </x:c>
      <x:c r="E48" s="96"/>
      <x:c r="F48" s="96"/>
      <x:c r="G48" s="96"/>
      <x:c r="H48" s="97"/>
    </x:row>
    <x:row r="49">
      <x:c r="A49" s="95"/>
      <x:c r="B49" s="96"/>
      <x:c r="C49" s="96"/>
      <x:c r="D49" s="96" t="str">
        <x:v>Business Rule</x:v>
      </x:c>
      <x:c r="E49" s="96"/>
      <x:c r="F49" s="96"/>
      <x:c r="G49" s="96"/>
      <x:c r="H49" s="97"/>
    </x:row>
    <x:row r="50">
      <x:c r="A50" s="95"/>
      <x:c r="B50" s="96"/>
      <x:c r="C50" s="96"/>
      <x:c r="D50" s="96" t="str">
        <x:v>Concurrency</x:v>
      </x:c>
      <x:c r="E50" s="96"/>
      <x:c r="F50" s="96"/>
      <x:c r="G50" s="96"/>
      <x:c r="H50" s="97"/>
    </x:row>
    <x:row r="51">
      <x:c r="A51" s="95"/>
      <x:c r="B51" s="96"/>
      <x:c r="C51" s="96"/>
      <x:c r="D51" s="96" t="str">
        <x:v>Regression</x:v>
      </x:c>
      <x:c r="E51" s="96"/>
      <x:c r="F51" s="96"/>
      <x:c r="G51" s="96"/>
      <x:c r="H51" s="97"/>
    </x:row>
    <x:row r="52">
      <x:c r="A52" s="95"/>
      <x:c r="B52" s="96"/>
      <x:c r="C52" s="96"/>
      <x:c r="D52" s="96" t="str">
        <x:v>Performance</x:v>
      </x:c>
      <x:c r="E52" s="96"/>
      <x:c r="F52" s="96"/>
      <x:c r="G52" s="96"/>
      <x:c r="H52" s="97"/>
    </x:row>
  </x:sheetData>
  <x:mergeCells>
    <x:mergeCell ref="A1:H1"/>
    <x:mergeCell ref="A2:H2"/>
    <x:mergeCell ref="A4:H4"/>
    <x:mergeCell ref="A12:H12"/>
    <x:mergeCell ref="A21:H21"/>
    <x:mergeCell ref="A33:H33"/>
  </x:mergeCells>
  <x:pageMargins left="0.7" right="0.7" top="0.75" bottom="0.75" header="0.3" footer="0.3"/>
</x:worksheet>
</file>