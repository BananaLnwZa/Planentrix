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098679a5c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89897aa2732d4153"/>
    <x:sheet xmlns:r="http://schemas.openxmlformats.org/officeDocument/2006/relationships" name="Test Cases" sheetId="2" r:id="Rab6d5619776a436b"/>
    <x:sheet xmlns:r="http://schemas.openxmlformats.org/officeDocument/2006/relationships" name="Coverage" sheetId="3" r:id="Re8605d8a69064be1"/>
    <x:sheet xmlns:r="http://schemas.openxmlformats.org/officeDocument/2006/relationships" name="Test Data" sheetId="4" r:id="Rc57dc6aaef804a9d"/>
    <x:sheet xmlns:r="http://schemas.openxmlformats.org/officeDocument/2006/relationships" name="Test Execution" sheetId="5" r:id="R362c24b2f4b4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%"/>
  </x:numFmts>
  <x:fonts count="20">
    <x:font>
      <x:sz val="11"/>
      <x:name val="Carlito"/>
    </x:font>
    <x:font>
      <x:b/>
      <x:sz val="20"/>
      <x:color rgb="FF2F4353"/>
      <x:name val="Aptos"/>
    </x:font>
    <x:font>
      <x:i/>
      <x:sz val="10"/>
      <x:color rgb="FF6F8290"/>
      <x:name val="Aptos"/>
    </x:font>
    <x:font>
      <x:b/>
      <x:sz val="11"/>
      <x:color rgb="FF2F4353"/>
      <x:name val="Carlito"/>
    </x:font>
    <x:font>
      <x:sz val="11"/>
      <x:color rgb="FF2F4353"/>
      <x:name val="Carlito"/>
    </x:font>
    <x:font>
      <x:b/>
      <x:sz val="12"/>
      <x:color rgb="FF2F4353"/>
      <x:name val="Aptos"/>
    </x:font>
    <x:font>
      <x:b/>
      <x:sz val="10"/>
      <x:color rgb="FFFFFFFF"/>
      <x:name val="Aptos"/>
    </x:font>
    <x:font>
      <x:b/>
      <x:sz val="10"/>
      <x:color rgb="FF2F4353"/>
      <x:name val="Aptos"/>
    </x:font>
    <x:font>
      <x:sz val="10"/>
      <x:color rgb="FF2F4353"/>
      <x:name val="Aptos"/>
    </x:font>
    <x:font>
      <x:i/>
      <x:sz val="11"/>
      <x:color rgb="FF6F8290"/>
      <x:name val="Carlito"/>
    </x:font>
    <x:font>
      <x:sz val="9"/>
      <x:color rgb="FF2F4353"/>
      <x:name val="Aptos"/>
    </x:font>
    <x:font>
      <x:sz val="11"/>
      <x:color rgb="FF2F4353"/>
      <x:name val="Aptos"/>
    </x:font>
    <x:font>
      <x:b/>
      <x:sz val="18"/>
      <x:color rgb="FF304F62"/>
      <x:name val="Carlito"/>
    </x:font>
    <x:font>
      <x:sz val="11"/>
      <x:color rgb="FF304F62"/>
      <x:name val="Carlito"/>
    </x:font>
    <x:font>
      <x:b/>
      <x:sz val="11"/>
      <x:color rgb="FF304F62"/>
      <x:name val="Carlito"/>
    </x:font>
    <x:font>
      <x:i/>
      <x:sz val="11"/>
      <x:color rgb="FF6B6255"/>
      <x:name val="Carlito"/>
    </x:font>
    <x:font>
      <x:b/>
      <x:sz val="11"/>
      <x:color rgb="FFFFFFFF"/>
      <x:name val="Carlito"/>
    </x:font>
    <x:font>
      <x:b/>
      <x:sz val="11"/>
      <x:color rgb="FF48733A"/>
      <x:name val="Carlito"/>
    </x:font>
    <x:font>
      <x:sz val="11"/>
      <x:color rgb="FF5F5B55"/>
      <x:name val="Carlito"/>
    </x:font>
    <x:font>
      <x:b/>
      <x:sz val="11"/>
      <x:color rgb="FFA23A3A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8C5D0"/>
      </x:patternFill>
    </x:fill>
    <x:fill>
      <x:patternFill patternType="solid">
        <x:fgColor rgb="FFFEFBEA"/>
      </x:patternFill>
    </x:fill>
    <x:fill>
      <x:patternFill patternType="solid">
        <x:fgColor rgb="FFBFE3F3"/>
      </x:patternFill>
    </x:fill>
    <x:fill>
      <x:patternFill patternType="solid">
        <x:fgColor rgb="FFFFFFFF"/>
      </x:patternFill>
    </x:fill>
    <x:fill>
      <x:patternFill patternType="solid">
        <x:fgColor rgb="FF345268"/>
      </x:patternFill>
    </x:fill>
    <x:fill>
      <x:patternFill patternType="solid">
        <x:fgColor rgb="FFCBE8A9"/>
      </x:patternFill>
    </x:fill>
    <x:fill>
      <x:patternFill patternType="solid">
        <x:fgColor rgb="FFFFE6A3"/>
      </x:patternFill>
    </x:fill>
    <x:fill>
      <x:patternFill patternType="solid">
        <x:fgColor rgb="FFD9C2EF"/>
      </x:patternFill>
    </x:fill>
    <x:fill>
      <x:patternFill patternType="solid">
        <x:fgColor rgb="FFF8C3A8"/>
      </x:patternFill>
    </x:fill>
    <x:fill>
      <x:patternFill patternType="solid">
        <x:fgColor rgb="FFF8FBFD"/>
      </x:patternFill>
    </x:fill>
    <x:fill>
      <x:patternFill patternType="solid">
        <x:fgColor rgb="FFFFFDF4"/>
      </x:patternFill>
    </x:fill>
    <x:fill>
      <x:patternFill patternType="solid">
        <x:fgColor rgb="FFF6BED0"/>
      </x:patternFill>
    </x:fill>
    <x:fill>
      <x:patternFill patternType="solid">
        <x:fgColor rgb="FFEFF8FC"/>
      </x:patternFill>
    </x:fill>
    <x:fill>
      <x:patternFill patternType="solid">
        <x:fgColor rgb="FFFFF9E8"/>
      </x:patternFill>
    </x:fill>
    <x:fill>
      <x:patternFill patternType="solid">
        <x:fgColor rgb="FF304F62"/>
      </x:patternFill>
    </x:fill>
    <x:fill>
      <x:patternFill patternType="solid">
        <x:fgColor rgb="FFFFFFFF"/>
      </x:patternFill>
    </x:fill>
    <x:fill>
      <x:patternFill patternType="solid">
        <x:fgColor rgb="FFDDF2D1"/>
      </x:patternFill>
    </x:fill>
    <x:fill>
      <x:patternFill patternType="solid">
        <x:fgColor rgb="FFFFFDF4"/>
      </x:patternFill>
    </x:fill>
    <x:fill>
      <x:patternFill patternType="solid">
        <x:fgColor rgb="FFFFFFFF"/>
      </x:patternFill>
    </x:fill>
    <x:fill>
      <x:patternFill patternType="solid">
        <x:fgColor rgb="FFDDF2D1"/>
      </x:patternFill>
    </x:fill>
    <x:fill>
      <x:patternFill patternType="solid">
        <x:fgColor rgb="FFFFD6D6"/>
      </x:patternFill>
    </x:fill>
    <x:fill>
      <x:patternFill patternType="solid">
        <x:fgColor rgb="FFF6BED0"/>
      </x:patternFill>
    </x:fill>
    <x:fill>
      <x:patternFill patternType="solid">
        <x:fgColor rgb="FFFFFDF4"/>
      </x:patternFill>
    </x:fill>
    <x:fill>
      <x:patternFill patternType="solid">
        <x:fgColor rgb="FFFFFFFF"/>
      </x:patternFill>
    </x:fill>
    <x:fill>
      <x:patternFill patternType="solid">
        <x:fgColor rgb="FFDDF2D1"/>
      </x:patternFill>
    </x:fill>
    <x:fill>
      <x:patternFill patternType="solid">
        <x:fgColor rgb="FFFFD6D6"/>
      </x:patternFill>
    </x:fill>
    <x:fill>
      <x:patternFill patternType="solid">
        <x:fgColor rgb="FFF6BED0"/>
      </x:patternFill>
    </x:fill>
    <x:fill>
      <x:patternFill patternType="solid">
        <x:fgColor rgb="FFFFFDF4"/>
      </x:patternFill>
    </x:fill>
  </x:fills>
  <x:borders count="20">
    <x:border/>
    <x:border>
      <x:left style="medium">
        <x:color rgb="FFE89AB5"/>
      </x:left>
      <x:top style="medium">
        <x:color rgb="FFE89AB5"/>
      </x:top>
      <x:bottom style="medium">
        <x:color rgb="FFE89AB5"/>
      </x:bottom>
    </x:border>
    <x:border>
      <x:top style="medium">
        <x:color rgb="FFE89AB5"/>
      </x:top>
      <x:bottom style="medium">
        <x:color rgb="FFE89AB5"/>
      </x:bottom>
    </x:border>
    <x:border>
      <x:right style="medium">
        <x:color rgb="FFE89AB5"/>
      </x:right>
      <x:top style="medium">
        <x:color rgb="FFE89AB5"/>
      </x:top>
      <x:bottom style="medium">
        <x:color rgb="FFE89AB5"/>
      </x:bottom>
    </x:border>
    <x:border>
      <x:left style="thin">
        <x:color rgb="FFD7DEE3"/>
      </x:left>
      <x:top style="thin">
        <x:color rgb="FFD7DEE3"/>
      </x:top>
    </x:border>
    <x:border>
      <x:top style="thin">
        <x:color rgb="FFD7DEE3"/>
      </x:top>
    </x:border>
    <x:border>
      <x:right style="thin">
        <x:color rgb="FFD7DEE3"/>
      </x:right>
      <x:top style="thin">
        <x:color rgb="FFD7DEE3"/>
      </x:top>
    </x:border>
    <x:border>
      <x:left style="thin">
        <x:color rgb="FFD7DEE3"/>
      </x:left>
    </x:border>
    <x:border>
      <x:right style="thin">
        <x:color rgb="FFD7DEE3"/>
      </x:right>
    </x:border>
    <x:border>
      <x:left style="thin">
        <x:color rgb="FFD7DEE3"/>
      </x:left>
      <x:bottom style="thin">
        <x:color rgb="FFD7DEE3"/>
      </x:bottom>
    </x:border>
    <x:border>
      <x:bottom style="thin">
        <x:color rgb="FFD7DEE3"/>
      </x:bottom>
    </x:border>
    <x:border>
      <x:right style="thin">
        <x:color rgb="FFD7DEE3"/>
      </x:right>
      <x:bottom style="thin">
        <x:color rgb="FFD7DEE3"/>
      </x:bottom>
    </x:border>
    <x:border>
      <x:bottom style="medium">
        <x:color rgb="FF79BFE2"/>
      </x:bottom>
    </x:border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top style="thin">
        <x:color rgb="FFD7DEE3"/>
      </x:top>
      <x:bottom style="thin">
        <x:color rgb="FFD7DEE3"/>
      </x:bottom>
    </x:border>
    <x:border>
      <x:top style="thin">
        <x:color rgb="FFD7DEE3"/>
      </x:top>
      <x:bottom style="thin">
        <x:color rgb="FFD7DEE3"/>
      </x:bottom>
    </x:border>
    <x:border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B8D7E6"/>
      </x:left>
      <x:right style="thin">
        <x:color rgb="FFB8D7E6"/>
      </x:right>
      <x:top style="thin">
        <x:color rgb="FFB8D7E6"/>
      </x:top>
      <x:bottom style="thin">
        <x:color rgb="FFB8D7E6"/>
      </x:bottom>
    </x:border>
    <x:border>
      <x:left style="thin">
        <x:color rgb="FFD8E6ED"/>
      </x:left>
      <x:right style="thin">
        <x:color rgb="FFD8E6ED"/>
      </x:right>
      <x:top style="thin">
        <x:color rgb="FFD8E6ED"/>
      </x:top>
      <x:bottom style="thin">
        <x:color rgb="FFD8E6ED"/>
      </x:bottom>
    </x:border>
    <x:border>
      <x:left style="thin">
        <x:color rgb="FFE8DFC8"/>
      </x:left>
      <x:right style="thin">
        <x:color rgb="FFE8DFC8"/>
      </x:right>
      <x:top style="thin">
        <x:color rgb="FFE8DFC8"/>
      </x:top>
      <x:bottom style="thin">
        <x:color rgb="FFE8DFC8"/>
      </x:bottom>
    </x:border>
  </x:borders>
  <x:cellStyleXfs count="1">
    <x:xf numFmtId="0" fontId="0" fillId="0" borderId="0"/>
  </x:cellStyleXfs>
  <x:cellXfs count="2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horizontal="left" vertical="top" wrapText="1"/>
    </x:xf>
    <x:xf numFmtId="0" fontId="4" fillId="5" borderId="6" xfId="0" applyNumberFormat="1" applyFont="1" applyFill="1" applyBorder="1" applyAlignment="1">
      <x:alignment horizontal="left"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horizontal="left"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horizontal="left" vertical="top" wrapText="1"/>
    </x:xf>
    <x:xf numFmtId="0" fontId="4" fillId="5" borderId="11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/>
    <x:xf numFmtId="0" fontId="5" fillId="4" borderId="12" xfId="0" applyNumberFormat="1" applyFont="1" applyFill="1" applyBorder="1"/>
    <x:xf numFmtId="0" fontId="5" fillId="4" borderId="1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3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2" xfId="0" applyNumberFormat="1" applyFont="1" applyFill="1" applyBorder="1"/>
    <x:xf numFmtId="0" fontId="5" fillId="8" borderId="1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2" xfId="0" applyNumberFormat="1" applyFont="1" applyFill="1" applyBorder="1"/>
    <x:xf numFmtId="0" fontId="5" fillId="9" borderId="1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2" xfId="0" applyNumberFormat="1" applyFont="1" applyFill="1" applyBorder="1"/>
    <x:xf numFmtId="0" fontId="5" fillId="10" borderId="12" xfId="0" applyNumberFormat="1" applyFont="1" applyFill="1" applyBorder="1" applyAlignment="1">
      <x:alignment vertical="center"/>
    </x:xf>
    <x:xf numFmtId="0" fontId="7" fillId="6" borderId="1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7" fillId="7" borderId="12" xfId="0" applyNumberFormat="1" applyFont="1" applyFill="1" applyBorder="1" applyAlignment="1">
      <x:alignment vertical="center"/>
    </x:xf>
    <x:xf numFmtId="0" fontId="7" fillId="8" borderId="12" xfId="0" applyNumberFormat="1" applyFont="1" applyFill="1" applyBorder="1" applyAlignment="1">
      <x:alignment vertical="center"/>
    </x:xf>
    <x:xf numFmtId="0" fontId="7" fillId="9" borderId="12" xfId="0" applyNumberFormat="1" applyFont="1" applyFill="1" applyBorder="1" applyAlignment="1">
      <x:alignment vertical="center"/>
    </x:xf>
    <x:xf numFmtId="0" fontId="7" fillId="10" borderId="12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7" fillId="7" borderId="14" xfId="0" applyNumberFormat="1" applyFont="1" applyFill="1" applyBorder="1" applyAlignment="1">
      <x:alignment vertical="center"/>
    </x:xf>
    <x:xf numFmtId="0" fontId="7" fillId="7" borderId="15" xfId="0" applyNumberFormat="1" applyFont="1" applyFill="1" applyBorder="1" applyAlignment="1">
      <x:alignment vertical="center"/>
    </x:xf>
    <x:xf numFmtId="0" fontId="7" fillId="7" borderId="16" xfId="0" applyNumberFormat="1" applyFont="1" applyFill="1" applyBorder="1" applyAlignment="1">
      <x:alignment vertical="center"/>
    </x:xf>
    <x:xf numFmtId="0" fontId="7" fillId="8" borderId="14" xfId="0" applyNumberFormat="1" applyFont="1" applyFill="1" applyBorder="1" applyAlignment="1">
      <x:alignment vertical="center"/>
    </x:xf>
    <x:xf numFmtId="0" fontId="7" fillId="8" borderId="15" xfId="0" applyNumberFormat="1" applyFont="1" applyFill="1" applyBorder="1" applyAlignment="1">
      <x:alignment vertical="center"/>
    </x:xf>
    <x:xf numFmtId="0" fontId="7" fillId="8" borderId="16" xfId="0" applyNumberFormat="1" applyFont="1" applyFill="1" applyBorder="1" applyAlignment="1">
      <x:alignment vertical="center"/>
    </x:xf>
    <x:xf numFmtId="0" fontId="7" fillId="9" borderId="14" xfId="0" applyNumberFormat="1" applyFont="1" applyFill="1" applyBorder="1" applyAlignment="1">
      <x:alignment vertical="center"/>
    </x:xf>
    <x:xf numFmtId="0" fontId="7" fillId="9" borderId="15" xfId="0" applyNumberFormat="1" applyFont="1" applyFill="1" applyBorder="1" applyAlignment="1">
      <x:alignment vertical="center"/>
    </x:xf>
    <x:xf numFmtId="0" fontId="7" fillId="9" borderId="16" xfId="0" applyNumberFormat="1" applyFont="1" applyFill="1" applyBorder="1" applyAlignment="1">
      <x:alignment vertical="center"/>
    </x:xf>
    <x:xf numFmtId="0" fontId="7" fillId="10" borderId="14" xfId="0" applyNumberFormat="1" applyFont="1" applyFill="1" applyBorder="1" applyAlignment="1">
      <x:alignment vertical="center"/>
    </x:xf>
    <x:xf numFmtId="0" fontId="7" fillId="10" borderId="15" xfId="0" applyNumberFormat="1" applyFont="1" applyFill="1" applyBorder="1" applyAlignment="1">
      <x:alignment vertical="center"/>
    </x:xf>
    <x:xf numFmtId="0" fontId="7" fillId="10" borderId="16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8" borderId="14" xfId="0" applyNumberFormat="1" applyFont="1" applyFill="1" applyBorder="1" applyAlignment="1">
      <x:alignment vertical="center" wrapText="1"/>
    </x:xf>
    <x:xf numFmtId="0" fontId="7" fillId="8" borderId="15" xfId="0" applyNumberFormat="1" applyFont="1" applyFill="1" applyBorder="1" applyAlignment="1">
      <x:alignment vertical="center" wrapText="1"/>
    </x:xf>
    <x:xf numFmtId="0" fontId="7" fillId="8" borderId="16" xfId="0" applyNumberFormat="1" applyFont="1" applyFill="1" applyBorder="1" applyAlignment="1">
      <x:alignment vertical="center" wrapText="1"/>
    </x:xf>
    <x:xf numFmtId="0" fontId="7" fillId="9" borderId="14" xfId="0" applyNumberFormat="1" applyFont="1" applyFill="1" applyBorder="1" applyAlignment="1">
      <x:alignment vertical="center" wrapText="1"/>
    </x:xf>
    <x:xf numFmtId="0" fontId="7" fillId="9" borderId="15" xfId="0" applyNumberFormat="1" applyFont="1" applyFill="1" applyBorder="1" applyAlignment="1">
      <x:alignment vertical="center" wrapText="1"/>
    </x:xf>
    <x:xf numFmtId="0" fontId="7" fillId="9" borderId="16" xfId="0" applyNumberFormat="1" applyFont="1" applyFill="1" applyBorder="1" applyAlignment="1">
      <x:alignment vertical="center" wrapText="1"/>
    </x:xf>
    <x:xf numFmtId="0" fontId="7" fillId="10" borderId="14" xfId="0" applyNumberFormat="1" applyFont="1" applyFill="1" applyBorder="1" applyAlignment="1">
      <x:alignment vertical="center" wrapText="1"/>
    </x:xf>
    <x:xf numFmtId="0" fontId="7" fillId="10" borderId="15" xfId="0" applyNumberFormat="1" applyFont="1" applyFill="1" applyBorder="1" applyAlignment="1">
      <x:alignment vertical="center" wrapText="1"/>
    </x:xf>
    <x:xf numFmtId="0" fontId="7" fillId="10" borderId="16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horizontal="center"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top" wrapText="1"/>
    </x:xf>
    <x:xf numFmtId="0" fontId="7" fillId="8" borderId="15" xfId="0" applyNumberFormat="1" applyFont="1" applyFill="1" applyBorder="1" applyAlignment="1">
      <x:alignment vertical="top" wrapText="1"/>
    </x:xf>
    <x:xf numFmtId="0" fontId="7" fillId="8" borderId="16" xfId="0" applyNumberFormat="1" applyFont="1" applyFill="1" applyBorder="1" applyAlignment="1">
      <x:alignment vertical="top" wrapText="1"/>
    </x:xf>
    <x:xf numFmtId="0" fontId="7" fillId="9" borderId="14" xfId="0" applyNumberFormat="1" applyFont="1" applyFill="1" applyBorder="1" applyAlignment="1">
      <x:alignment vertical="top" wrapText="1"/>
    </x:xf>
    <x:xf numFmtId="0" fontId="7" fillId="9" borderId="15" xfId="0" applyNumberFormat="1" applyFont="1" applyFill="1" applyBorder="1" applyAlignment="1">
      <x:alignment vertical="top" wrapText="1"/>
    </x:xf>
    <x:xf numFmtId="0" fontId="7" fillId="9" borderId="16" xfId="0" applyNumberFormat="1" applyFont="1" applyFill="1" applyBorder="1" applyAlignment="1">
      <x:alignment vertical="top" wrapText="1"/>
    </x:xf>
    <x:xf numFmtId="0" fontId="7" fillId="10" borderId="14" xfId="0" applyNumberFormat="1" applyFont="1" applyFill="1" applyBorder="1" applyAlignment="1">
      <x:alignment vertical="top" wrapText="1"/>
    </x:xf>
    <x:xf numFmtId="0" fontId="7" fillId="10" borderId="15" xfId="0" applyNumberFormat="1" applyFont="1" applyFill="1" applyBorder="1" applyAlignment="1">
      <x:alignment vertical="top" wrapText="1"/>
    </x:xf>
    <x:xf numFmtId="0" fontId="7" fillId="10" borderId="16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/>
    <x:xf numFmtId="0" fontId="3" fillId="4" borderId="13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4" xfId="0" applyNumberFormat="1" applyFont="1" applyFill="1" applyBorder="1"/>
    <x:xf numFmtId="0" fontId="9" fillId="3" borderId="5" xfId="0" applyNumberFormat="1" applyFont="1" applyFill="1" applyBorder="1"/>
    <x:xf numFmtId="0" fontId="9" fillId="3" borderId="6" xfId="0" applyNumberFormat="1" applyFont="1" applyFill="1" applyBorder="1"/>
    <x:xf numFmtId="0" fontId="9" fillId="3" borderId="9" xfId="0" applyNumberFormat="1" applyFont="1" applyFill="1" applyBorder="1"/>
    <x:xf numFmtId="0" fontId="9" fillId="3" borderId="10" xfId="0" applyNumberFormat="1" applyFont="1" applyFill="1" applyBorder="1"/>
    <x:xf numFmtId="0" fontId="9" fillId="3" borderId="11" xfId="0" applyNumberFormat="1" applyFont="1" applyFill="1" applyBorder="1"/>
    <x:xf numFmtId="0" fontId="9" fillId="3" borderId="4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9" fillId="3" borderId="9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wrapText="1"/>
    </x:xf>
    <x:xf numFmtId="0" fontId="9" fillId="3" borderId="11" xfId="0" applyNumberFormat="1" applyFont="1" applyFill="1" applyBorder="1" applyAlignment="1">
      <x:alignment wrapText="1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0" fontId="9" fillId="3" borderId="1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0" xfId="0" applyNumberFormat="1" applyFont="1" applyFill="1" applyBorder="1"/>
    <x:xf numFmtId="0" fontId="10" fillId="0" borderId="15" xfId="0" applyNumberFormat="1" applyFont="1" applyFill="1" applyBorder="1"/>
    <x:xf numFmtId="0" fontId="10" fillId="0" borderId="5" xfId="0" applyNumberFormat="1" applyFont="1" applyFill="1" applyBorder="1"/>
    <x:xf numFmtId="0" fontId="10" fillId="0" borderId="10" xfId="0" applyNumberFormat="1" applyFont="1" applyFill="1" applyBorder="1" applyAlignment="1">
      <x:alignment wrapText="1"/>
    </x:xf>
    <x:xf numFmtId="0" fontId="10" fillId="0" borderId="15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0" borderId="15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11" borderId="10" xfId="0" applyNumberFormat="1" applyFont="1" applyFill="1" applyBorder="1" applyAlignment="1">
      <x:alignment vertical="top" wrapText="1"/>
    </x:xf>
    <x:xf numFmtId="0" fontId="10" fillId="11" borderId="15" xfId="0" applyNumberFormat="1" applyFont="1" applyFill="1" applyBorder="1" applyAlignment="1">
      <x:alignment vertical="top" wrapText="1"/>
    </x:xf>
    <x:xf numFmtId="0" fontId="10" fillId="11" borderId="5" xfId="0" applyNumberFormat="1" applyFont="1" applyFill="1" applyBorder="1" applyAlignment="1">
      <x:alignment vertical="top" wrapText="1"/>
    </x:xf>
    <x:xf numFmtId="0" fontId="10" fillId="12" borderId="10" xfId="0" applyNumberFormat="1" applyFont="1" applyFill="1" applyBorder="1" applyAlignment="1">
      <x:alignment vertical="top" wrapText="1"/>
    </x:xf>
    <x:xf numFmtId="0" fontId="10" fillId="12" borderId="15" xfId="0" applyNumberFormat="1" applyFont="1" applyFill="1" applyBorder="1" applyAlignment="1">
      <x:alignment vertical="top" wrapText="1"/>
    </x:xf>
    <x:xf numFmtId="0" fontId="10" fillId="12" borderId="5" xfId="0" applyNumberFormat="1" applyFont="1" applyFill="1" applyBorder="1" applyAlignment="1">
      <x:alignment vertical="top" wrapText="1"/>
    </x:xf>
    <x:xf numFmtId="200" fontId="10" fillId="12" borderId="10" xfId="0" applyNumberFormat="1" applyFont="1" applyFill="1" applyBorder="1" applyAlignment="1">
      <x:alignment vertical="top" wrapText="1"/>
    </x:xf>
    <x:xf numFmtId="200" fontId="10" fillId="12" borderId="15" xfId="0" applyNumberFormat="1" applyFont="1" applyFill="1" applyBorder="1" applyAlignment="1">
      <x:alignment vertical="top" wrapText="1"/>
    </x:xf>
    <x:xf numFmtId="200" fontId="10" fillId="12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10" xfId="0" applyNumberFormat="1" applyFont="1" applyFill="1" applyBorder="1"/>
    <x:xf numFmtId="0" fontId="11" fillId="0" borderId="15" xfId="0" applyNumberFormat="1" applyFont="1" applyFill="1" applyBorder="1"/>
    <x:xf numFmtId="0" fontId="11" fillId="0" borderId="5" xfId="0" applyNumberFormat="1" applyFont="1" applyFill="1" applyBorder="1"/>
    <x:xf numFmtId="201" fontId="11" fillId="0" borderId="10" xfId="0" applyNumberFormat="1" applyFont="1" applyFill="1" applyBorder="1"/>
    <x:xf numFmtId="201" fontId="11" fillId="0" borderId="15" xfId="0" applyNumberFormat="1" applyFont="1" applyFill="1" applyBorder="1"/>
    <x:xf numFmtId="201" fontId="11" fillId="0" borderId="5" xfId="0" applyNumberFormat="1" applyFont="1" applyFill="1" applyBorder="1"/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horizontal="center"/>
    </x:xf>
    <x:xf numFmtId="0" fontId="0" fillId="6" borderId="13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0" xfId="0" applyNumberFormat="1" applyFont="1" applyFill="1" applyBorder="1" applyAlignment="1">
      <x:alignment horizontal="center"/>
    </x:xf>
    <x:xf numFmtId="0" fontId="12" fillId="1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14" borderId="0" xfId="0" applyNumberFormat="1" applyFont="1" applyFill="1" applyBorder="1"/>
    <x:xf numFmtId="200" fontId="0" fillId="14" borderId="0" xfId="0" applyNumberFormat="1" applyFont="1" applyFill="1" applyBorder="1"/>
    <x:xf numFmtId="0" fontId="13" fillId="14" borderId="0" xfId="0" applyNumberFormat="1" applyFont="1" applyFill="1" applyBorder="1"/>
    <x:xf numFmtId="200" fontId="13" fillId="14" borderId="0" xfId="0" applyNumberFormat="1" applyFont="1" applyFill="1" applyBorder="1"/>
    <x:xf numFmtId="0" fontId="13" fillId="14" borderId="17" xfId="0" applyNumberFormat="1" applyFont="1" applyFill="1" applyBorder="1"/>
    <x:xf numFmtId="200" fontId="13" fillId="14" borderId="17" xfId="0" applyNumberFormat="1" applyFont="1" applyFill="1" applyBorder="1"/>
    <x:xf numFmtId="0" fontId="13" fillId="14" borderId="17" xfId="0" applyNumberFormat="1" applyFont="1" applyFill="1" applyBorder="1" applyAlignment="1">
      <x:alignment vertical="center"/>
    </x:xf>
    <x:xf numFmtId="200" fontId="13" fillId="14" borderId="17" xfId="0" applyNumberFormat="1" applyFont="1" applyFill="1" applyBorder="1" applyAlignment="1">
      <x:alignment vertical="center"/>
    </x:xf>
    <x:xf numFmtId="0" fontId="14" fillId="14" borderId="17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horizontal="left" wrapText="1"/>
    </x:xf>
    <x:xf numFmtId="0" fontId="15" fillId="15" borderId="0" xfId="0" applyNumberFormat="1" applyFont="1" applyFill="1" applyBorder="1" applyAlignment="1">
      <x:alignment horizontal="left" vertical="center" wrapText="1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18" xfId="0" applyNumberFormat="1" applyFont="1" applyFill="1" applyBorder="1"/>
    <x:xf numFmtId="0" fontId="16" fillId="16" borderId="18" xfId="0" applyNumberFormat="1" applyFont="1" applyFill="1" applyBorder="1" applyAlignment="1">
      <x:alignment wrapText="1"/>
    </x:xf>
    <x:xf numFmtId="0" fontId="16" fillId="16" borderId="18" xfId="0" applyNumberFormat="1" applyFont="1" applyFill="1" applyBorder="1" applyAlignment="1">
      <x:alignment horizontal="center" wrapText="1"/>
    </x:xf>
    <x:xf numFmtId="0" fontId="16" fillId="16" borderId="18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18" xfId="0" applyNumberFormat="1" applyFont="1" applyFill="1" applyBorder="1"/>
    <x:xf numFmtId="0" fontId="13" fillId="17" borderId="18" xfId="0" applyNumberFormat="1" applyFont="1" applyFill="1" applyBorder="1" applyAlignment="1">
      <x:alignment wrapText="1"/>
    </x:xf>
    <x:xf numFmtId="0" fontId="13" fillId="17" borderId="18" xfId="0" applyNumberFormat="1" applyFont="1" applyFill="1" applyBorder="1" applyAlignment="1">
      <x:alignment vertical="top" wrapText="1"/>
    </x:xf>
    <x:xf numFmtId="200" fontId="13" fillId="17" borderId="18" xfId="0" applyNumberFormat="1" applyFont="1" applyFill="1" applyBorder="1" applyAlignment="1">
      <x:alignment vertical="top" wrapText="1"/>
    </x:xf>
    <x:xf numFmtId="0" fontId="13" fillId="18" borderId="18" xfId="0" applyNumberFormat="1" applyFont="1" applyFill="1" applyBorder="1" applyAlignment="1">
      <x:alignment vertical="top" wrapText="1"/>
    </x:xf>
    <x:xf numFmtId="0" fontId="17" fillId="18" borderId="18" xfId="0" applyNumberFormat="1" applyFont="1" applyFill="1" applyBorder="1" applyAlignment="1">
      <x:alignment vertical="top" wrapText="1"/>
    </x:xf>
    <x:xf numFmtId="0" fontId="17" fillId="18" borderId="18" xfId="0" applyNumberFormat="1" applyFont="1" applyFill="1" applyBorder="1" applyAlignment="1">
      <x:alignment horizontal="center" vertical="top" wrapText="1"/>
    </x:xf>
    <x:xf numFmtId="0" fontId="17" fillId="18" borderId="18" xfId="0" applyNumberFormat="1" applyFont="1" applyFill="1" applyBorder="1" applyAlignment="1">
      <x:alignment horizontal="center" vertical="center" wrapText="1"/>
    </x:xf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8" fillId="19" borderId="0" xfId="0" applyNumberFormat="1" applyFont="1" applyFill="1" applyBorder="1"/>
    <x:xf numFmtId="0" fontId="18" fillId="19" borderId="19" xfId="0" applyNumberFormat="1" applyFont="1" applyFill="1" applyBorder="1"/>
    <x:xf numFmtId="0" fontId="18" fillId="19" borderId="19" xfId="0" applyNumberFormat="1" applyFont="1" applyFill="1" applyBorder="1" applyAlignment="1">
      <x:alignment wrapText="1"/>
    </x:xf>
    <x:xf numFmtId="0" fontId="18" fillId="19" borderId="19" xfId="0" applyNumberFormat="1" applyFont="1" applyFill="1" applyBorder="1" applyAlignment="1">
      <x:alignment vertical="center" wrapText="1"/>
    </x:xf>
    <x:xf numFmtId="0" fontId="13" fillId="20" borderId="18" xfId="0" applyNumberFormat="1" applyFont="1" applyFill="1" applyBorder="1" applyAlignment="1">
      <x:alignment vertical="top" wrapText="1"/>
    </x:xf>
    <x:xf numFmtId="0" fontId="17" fillId="20" borderId="18" xfId="0" applyNumberFormat="1" applyFont="1" applyFill="1" applyBorder="1" applyAlignment="1">
      <x:alignment horizontal="center" vertical="center" wrapText="1"/>
    </x:xf>
    <x:xf numFmtId="200" fontId="13" fillId="20" borderId="18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14" fillId="20" borderId="0" xfId="0" applyNumberFormat="1" applyFont="1" applyFill="1" applyBorder="1" applyAlignment="1">
      <x:alignment vertical="center"/>
    </x:xf>
    <x:xf numFmtId="0" fontId="18" fillId="20" borderId="19" xfId="0" applyNumberFormat="1" applyFont="1" applyFill="1" applyBorder="1" applyAlignment="1">
      <x:alignment vertical="center" wrapText="1"/>
    </x:xf>
    <x:xf numFmtId="0" fontId="14" fillId="20" borderId="18" xfId="0" applyNumberFormat="1" applyFont="1" applyFill="1" applyBorder="1" applyAlignment="1">
      <x:alignment horizontal="center" vertical="center" wrapText="1"/>
    </x:xf>
    <x:xf numFmtId="0" fontId="13" fillId="20" borderId="0" xfId="0" applyNumberFormat="1" applyFont="1" applyFill="1" applyBorder="1"/>
    <x:xf numFmtId="0" fontId="13" fillId="20" borderId="19" xfId="0" applyNumberFormat="1" applyFont="1" applyFill="1" applyBorder="1" applyAlignment="1">
      <x:alignment vertical="center" wrapText="1"/>
    </x:xf>
    <x:xf numFmtId="0" fontId="13" fillId="20" borderId="18" xfId="0" applyNumberFormat="1" applyFont="1" applyFill="1" applyBorder="1"/>
    <x:xf numFmtId="0" fontId="14" fillId="20" borderId="18" xfId="0" applyNumberFormat="1" applyFont="1" applyFill="1" applyBorder="1" applyAlignment="1">
      <x:alignment vertical="center"/>
    </x:xf>
    <x:xf numFmtId="0" fontId="13" fillId="20" borderId="18" xfId="0" applyNumberFormat="1" applyFont="1" applyFill="1" applyBorder="1" applyAlignment="1">
      <x:alignment vertical="center" wrapText="1"/>
    </x:xf>
    <x:xf numFmtId="0" fontId="13" fillId="20" borderId="18" xfId="0" applyNumberFormat="1" applyFont="1" applyFill="1" applyBorder="1" applyAlignment="1">
      <x:alignment wrapText="1"/>
    </x:xf>
    <x:xf numFmtId="0" fontId="14" fillId="20" borderId="18" xfId="0" applyNumberFormat="1" applyFont="1" applyFill="1" applyBorder="1" applyAlignment="1">
      <x:alignment vertical="center" wrapText="1"/>
    </x:xf>
    <x:xf numFmtId="0" fontId="14" fillId="20" borderId="18" xfId="0" applyNumberFormat="1" applyFont="1" applyFill="1" applyBorder="1" applyAlignment="1">
      <x:alignment horizontal="center" vertical="top" wrapText="1"/>
    </x:xf>
    <x:xf numFmtId="0" fontId="14" fillId="20" borderId="18" xfId="0" applyNumberFormat="1" applyFont="1" applyFill="1" applyBorder="1" applyAlignment="1">
      <x:alignment vertical="top" wrapText="1"/>
    </x:xf>
    <x:xf numFmtId="200" fontId="14" fillId="20" borderId="18" xfId="0" applyNumberFormat="1" applyFont="1" applyFill="1" applyBorder="1" applyAlignment="1">
      <x:alignment vertical="top" wrapText="1"/>
    </x:xf>
    <x:xf numFmtId="0" fontId="14" fillId="21" borderId="18" xfId="0" applyNumberFormat="1" applyFont="1" applyFill="1" applyBorder="1" applyAlignment="1">
      <x:alignment horizontal="center" vertical="top" wrapText="1"/>
    </x:xf>
    <x:xf numFmtId="0" fontId="17" fillId="21" borderId="18" xfId="0" applyNumberFormat="1" applyFont="1" applyFill="1" applyBorder="1" applyAlignment="1">
      <x:alignment horizontal="center" vertical="top" wrapText="1"/>
    </x:xf>
    <x:xf numFmtId="0" fontId="17" fillId="21" borderId="18" xfId="0" applyNumberFormat="1" applyFont="1" applyFill="1" applyBorder="1" applyAlignment="1">
      <x:alignment horizontal="center" vertical="center" wrapText="1"/>
    </x:xf>
    <x:xf numFmtId="0" fontId="13" fillId="21" borderId="18" xfId="0" applyNumberFormat="1" applyFont="1" applyFill="1" applyBorder="1" applyAlignment="1">
      <x:alignment vertical="top" wrapText="1"/>
    </x:xf>
    <x:xf numFmtId="0" fontId="17" fillId="21" borderId="18" xfId="0" applyNumberFormat="1" applyFont="1" applyFill="1" applyBorder="1" applyAlignment="1">
      <x:alignment vertical="top" wrapText="1"/>
    </x:xf>
    <x:xf numFmtId="0" fontId="14" fillId="21" borderId="18" xfId="0" applyNumberFormat="1" applyFont="1" applyFill="1" applyBorder="1" applyAlignment="1">
      <x:alignment vertical="top" wrapText="1"/>
    </x:xf>
    <x:xf numFmtId="0" fontId="13" fillId="22" borderId="18" xfId="0" applyNumberFormat="1" applyFont="1" applyFill="1" applyBorder="1" applyAlignment="1">
      <x:alignment vertical="top" wrapText="1"/>
    </x:xf>
    <x:xf numFmtId="0" fontId="19" fillId="22" borderId="18" xfId="0" applyNumberFormat="1" applyFont="1" applyFill="1" applyBorder="1" applyAlignment="1">
      <x:alignment vertical="top" wrapText="1"/>
    </x:xf>
    <x:xf numFmtId="0" fontId="19" fillId="22" borderId="18" xfId="0" applyNumberFormat="1" applyFont="1" applyFill="1" applyBorder="1" applyAlignment="1">
      <x:alignment horizontal="center" vertical="top" wrapText="1"/>
    </x:xf>
    <x:xf numFmtId="0" fontId="19" fillId="22" borderId="18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14" fillId="23" borderId="0" xfId="0" applyNumberFormat="1" applyFont="1" applyFill="1" applyBorder="1"/>
    <x:xf numFmtId="0" fontId="14" fillId="23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18" fillId="24" borderId="0" xfId="0" applyNumberFormat="1" applyFont="1" applyFill="1" applyBorder="1"/>
    <x:xf numFmtId="0" fontId="18" fillId="24" borderId="19" xfId="0" applyNumberFormat="1" applyFont="1" applyFill="1" applyBorder="1"/>
    <x:xf numFmtId="0" fontId="18" fillId="24" borderId="19" xfId="0" applyNumberFormat="1" applyFont="1" applyFill="1" applyBorder="1" applyAlignment="1">
      <x:alignment wrapText="1"/>
    </x:xf>
    <x:xf numFmtId="0" fontId="18" fillId="24" borderId="19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18" xfId="0" applyNumberFormat="1" applyFont="1" applyFill="1" applyBorder="1"/>
    <x:xf numFmtId="0" fontId="13" fillId="25" borderId="18" xfId="0" applyNumberFormat="1" applyFont="1" applyFill="1" applyBorder="1" applyAlignment="1">
      <x:alignment wrapText="1"/>
    </x:xf>
    <x:xf numFmtId="0" fontId="13" fillId="25" borderId="18" xfId="0" applyNumberFormat="1" applyFont="1" applyFill="1" applyBorder="1" applyAlignment="1">
      <x:alignment vertical="top" wrapText="1"/>
    </x:xf>
    <x:xf numFmtId="200" fontId="13" fillId="25" borderId="18" xfId="0" applyNumberFormat="1" applyFont="1" applyFill="1" applyBorder="1" applyAlignment="1">
      <x:alignment vertical="top" wrapText="1"/>
    </x:xf>
    <x:xf numFmtId="0" fontId="13" fillId="26" borderId="18" xfId="0" applyNumberFormat="1" applyFont="1" applyFill="1" applyBorder="1" applyAlignment="1">
      <x:alignment vertical="top" wrapText="1"/>
    </x:xf>
    <x:xf numFmtId="0" fontId="17" fillId="26" borderId="18" xfId="0" applyNumberFormat="1" applyFont="1" applyFill="1" applyBorder="1" applyAlignment="1">
      <x:alignment vertical="top" wrapText="1"/>
    </x:xf>
    <x:xf numFmtId="0" fontId="17" fillId="26" borderId="18" xfId="0" applyNumberFormat="1" applyFont="1" applyFill="1" applyBorder="1" applyAlignment="1">
      <x:alignment horizontal="center" vertical="top" wrapText="1"/>
    </x:xf>
    <x:xf numFmtId="0" fontId="17" fillId="26" borderId="18" xfId="0" applyNumberFormat="1" applyFont="1" applyFill="1" applyBorder="1" applyAlignment="1">
      <x:alignment horizontal="center" vertical="center" wrapText="1"/>
    </x:xf>
    <x:xf numFmtId="0" fontId="13" fillId="27" borderId="18" xfId="0" applyNumberFormat="1" applyFont="1" applyFill="1" applyBorder="1" applyAlignment="1">
      <x:alignment vertical="top" wrapText="1"/>
    </x:xf>
    <x:xf numFmtId="0" fontId="19" fillId="27" borderId="18" xfId="0" applyNumberFormat="1" applyFont="1" applyFill="1" applyBorder="1" applyAlignment="1">
      <x:alignment vertical="top" wrapText="1"/>
    </x:xf>
    <x:xf numFmtId="0" fontId="19" fillId="27" borderId="18" xfId="0" applyNumberFormat="1" applyFont="1" applyFill="1" applyBorder="1" applyAlignment="1">
      <x:alignment horizontal="center" vertical="top" wrapText="1"/>
    </x:xf>
    <x:xf numFmtId="0" fontId="19" fillId="27" borderId="18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4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18" fillId="29" borderId="0" xfId="0" applyNumberFormat="1" applyFont="1" applyFill="1" applyBorder="1"/>
    <x:xf numFmtId="0" fontId="18" fillId="29" borderId="19" xfId="0" applyNumberFormat="1" applyFont="1" applyFill="1" applyBorder="1"/>
    <x:xf numFmtId="0" fontId="18" fillId="29" borderId="19" xfId="0" applyNumberFormat="1" applyFont="1" applyFill="1" applyBorder="1" applyAlignment="1">
      <x:alignment wrapText="1"/>
    </x:xf>
    <x:xf numFmtId="0" fontId="18" fillId="29" borderId="1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F6B2D"/>
      </x:font>
      <x:fill>
        <x:patternFill>
          <x:bgColor rgb="FFDDF4D2"/>
        </x:patternFill>
      </x:fill>
    </x:dxf>
    <x:dxf>
      <x:font>
        <x:b/>
        <x:color rgb="FFE35D6A"/>
      </x:font>
      <x:fill>
        <x:patternFill>
          <x:bgColor rgb="FFFFD7DC"/>
        </x:patternFill>
      </x:fill>
    </x:dxf>
    <x:dxf>
      <x:font>
        <x:b/>
        <x:color rgb="FF8A5A00"/>
      </x:font>
      <x:fill>
        <x:patternFill>
          <x:bgColor rgb="FFFFE8B8"/>
        </x:patternFill>
      </x:fill>
    </x:dxf>
    <x:dxf>
      <x:font>
        <x:color rgb="FF6F8290"/>
      </x:font>
      <x:fill>
        <x:patternFill>
          <x:bgColor rgb="FFE8EDF1"/>
        </x:patternFill>
      </x:fill>
    </x:dxf>
    <x:dxf>
      <x:font>
        <x:b/>
        <x:color rgb="FFE35D6A"/>
      </x:font>
      <x:fill>
        <x:patternFill>
          <x:bgColor rgb="FFFFD7DC"/>
        </x:patternFill>
      </x:fill>
    </x:dxf>
    <x:dxf>
      <x:fill>
        <x:patternFill>
          <x:bgColor rgb="FFFFE8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ec6cacf824b94" /><Relationship Type="http://schemas.openxmlformats.org/officeDocument/2006/relationships/theme" Target="/xl/theme/theme1.xml" Id="Re9ac70284d68483b" /><Relationship Type="http://schemas.openxmlformats.org/officeDocument/2006/relationships/sharedStrings" Target="/xl/sharedStrings.xml" Id="R14791a4e0add4b38" /><Relationship Type="http://schemas.openxmlformats.org/officeDocument/2006/relationships/worksheet" Target="/xl/worksheets/sheet1.xml" Id="R89897aa2732d4153" /><Relationship Type="http://schemas.openxmlformats.org/officeDocument/2006/relationships/worksheet" Target="/xl/worksheets/sheet2.xml" Id="Rab6d5619776a436b" /><Relationship Type="http://schemas.openxmlformats.org/officeDocument/2006/relationships/worksheet" Target="/xl/worksheets/sheet3.xml" Id="Re8605d8a69064be1" /><Relationship Type="http://schemas.openxmlformats.org/officeDocument/2006/relationships/worksheet" Target="/xl/worksheets/sheet4.xml" Id="Rc57dc6aaef804a9d" /><Relationship Type="http://schemas.openxmlformats.org/officeDocument/2006/relationships/worksheet" Target="/xl/worksheets/sheet5.xml" Id="R362c24b2f4b44e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46af64054449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Execution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จำนวน</c:v>
          </c:tx>
          <c:cat>
            <c:strRef>
              <c:f>'Coverage'!$J$7:$J$10</c:f>
              <c:strCache>
                <c:ptCount val="0"/>
              </c:strCache>
            </c:strRef>
          </c:cat>
          <c:val>
            <c:numRef>
              <c:f>'Coverage'!$K$7:$K$10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46af64054449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badminCasesTable" displayName="webadminCasesTable" ref="A6:S62" headerRowCount="1" totalsRowCount="0" totalsRowShown="0">
  <x:tableColumns count="19">
    <x:tableColumn id="1" name="Test Case ID"/>
    <x:tableColumn id="2" name="Requirement ID"/>
    <x:tableColumn id="3" name="หน้า"/>
    <x:tableColumn id="4" name="ฟังก์ชัน/โมดูล"/>
    <x:tableColumn id="5" name="ประเภทการทดสอบ"/>
    <x:tableColumn id="6" name="Priority"/>
    <x:tableColumn id="7" name="เงื่อนไขก่อนทดสอบ"/>
    <x:tableColumn id="8" name="ขั้นตอนทดสอบ"/>
    <x:tableColumn id="9" name="ข้อมูลทดสอบ"/>
    <x:tableColumn id="10" name="ผลลัพธ์ที่คาดหวัง"/>
    <x:tableColumn id="11" name="API / จุดเชื่อมต่อ"/>
    <x:tableColumn id="12" name="สภาพแวดล้อม"/>
    <x:tableColumn id="13" name="ผลที่เกิดขึ้นจริง"/>
    <x:tableColumn id="14" name="สถานะ"/>
    <x:tableColumn id="15" name="Severity (เมื่อ Fail)"/>
    <x:tableColumn id="16" name="Defect ID"/>
    <x:tableColumn id="17" name="ผู้ทดสอบ"/>
    <x:tableColumn id="18" name="วันที่ทดสอบ"/>
    <x:tableColumn id="19" name="หมายเหตุ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01f05c953349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022b4ef06b74d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8" hidden="0" customWidth="1"/>
    <x:col min="5" max="5" width="19" hidden="0" customWidth="1"/>
    <x:col min="6" max="6" width="29" hidden="0" customWidth="1"/>
    <x:col min="7" max="7" width="24" hidden="0" customWidth="1"/>
    <x:col min="8" max="8" width="24" hidden="0" customWidth="1"/>
  </x:cols>
  <x:sheetData>
    <x:row r="1" ht="34" customHeight="1">
      <x:c r="A1" s="9" t="str">
        <x:v>Planentrix — Web Admin Test Plan</x:v>
      </x:c>
      <x:c r="B1" s="10" t="str">
        <x:v>Planentrix — Web Admin Test Plan</x:v>
      </x:c>
      <x:c r="C1" s="10" t="str">
        <x:v>Planentrix — Web Admin Test Plan</x:v>
      </x:c>
      <x:c r="D1" s="10" t="str">
        <x:v>Planentrix — Web Admin Test Plan</x:v>
      </x:c>
      <x:c r="E1" s="10" t="str">
        <x:v>Planentrix — Web Admin Test Plan</x:v>
      </x:c>
      <x:c r="F1" s="10" t="str">
        <x:v>Planentrix — Web Admin Test Plan</x:v>
      </x:c>
      <x:c r="G1" s="10" t="str">
        <x:v>Planentrix — Web Admin Test Plan</x:v>
      </x:c>
      <x:c r="H1" s="11" t="str">
        <x:v>Planentrix — Web Admin Test Plan</x:v>
      </x:c>
    </x:row>
    <x:row r="2" ht="24" customHeight="1">
      <x:c r="A2" s="15" t="str">
        <x:v>แผนทดสอบเฉพาะเว็บส่วนแอดมิน | Test Cases 56 รายการ | Version 1.0</x:v>
      </x:c>
      <x:c r="B2" s="15" t="str">
        <x:v>แผนทดสอบเฉพาะเว็บส่วนแอดมิน | Test Cases 56 รายการ | Version 1.0</x:v>
      </x:c>
      <x:c r="C2" s="15" t="str">
        <x:v>แผนทดสอบเฉพาะเว็บส่วนแอดมิน | Test Cases 56 รายการ | Version 1.0</x:v>
      </x:c>
      <x:c r="D2" s="15" t="str">
        <x:v>แผนทดสอบเฉพาะเว็บส่วนแอดมิน | Test Cases 56 รายการ | Version 1.0</x:v>
      </x:c>
      <x:c r="E2" s="15" t="str">
        <x:v>แผนทดสอบเฉพาะเว็บส่วนแอดมิน | Test Cases 56 รายการ | Version 1.0</x:v>
      </x:c>
      <x:c r="F2" s="15" t="str">
        <x:v>แผนทดสอบเฉพาะเว็บส่วนแอดมิน | Test Cases 56 รายการ | Version 1.0</x:v>
      </x:c>
      <x:c r="G2" s="15" t="str">
        <x:v>แผนทดสอบเฉพาะเว็บส่วนแอดมิน | Test Cases 56 รายการ | Version 1.0</x:v>
      </x:c>
      <x:c r="H2" s="15" t="str">
        <x:v>แผนทดสอบเฉพาะเว็บส่วนแอดมิน | Test Cases 56 รายการ | Version 1.0</x:v>
      </x:c>
    </x:row>
    <x:row r="4" ht="38" customHeight="1">
      <x:c r="A4" s="25" t="str">
        <x:v>โครงการ</x:v>
      </x:c>
      <x:c r="B4" s="26" t="str">
        <x:v>Planentrix — Schedule Planner</x:v>
      </x:c>
      <x:c r="C4" s="26"/>
      <x:c r="D4" s="26"/>
      <x:c r="E4" s="26"/>
      <x:c r="F4" s="26"/>
      <x:c r="G4" s="26"/>
      <x:c r="H4" s="27"/>
    </x:row>
    <x:row r="5" ht="38" customHeight="1">
      <x:c r="A5" s="28" t="str">
        <x:v>แพลตฟอร์ม</x:v>
      </x:c>
      <x:c r="B5" s="24" t="str">
        <x:v>เว็บส่วนแอดมิน</x:v>
      </x:c>
      <x:c r="C5" s="24"/>
      <x:c r="D5" s="24"/>
      <x:c r="E5" s="24"/>
      <x:c r="F5" s="24"/>
      <x:c r="G5" s="24"/>
      <x:c r="H5" s="29"/>
    </x:row>
    <x:row r="6" ht="38" customHeight="1">
      <x:c r="A6" s="28" t="str">
        <x:v>วัตถุประสงค์</x:v>
      </x:c>
      <x:c r="B6" s="24" t="str">
        <x:v>ยืนยันว่าเว็บแอดมินจัดการผู้ใช้ รายวิชา ประเภทรายวิชา และข้อสอบได้ถูกต้อง พร้อมป้องกันข้อมูลอ้างอิงเสียและจำกัดสิทธิ์เฉพาะ Admin</x:v>
      </x:c>
      <x:c r="C6" s="24"/>
      <x:c r="D6" s="24"/>
      <x:c r="E6" s="24"/>
      <x:c r="F6" s="24"/>
      <x:c r="G6" s="24"/>
      <x:c r="H6" s="29"/>
    </x:row>
    <x:row r="7" ht="38" customHeight="1">
      <x:c r="A7" s="28" t="str">
        <x:v>ขอบเขตหน้า</x:v>
      </x:c>
      <x:c r="B7" s="24" t="str">
        <x:v>Admin LogIn, Dashboard, Manage Users, Subject Type, Subject และ Exam Management</x:v>
      </x:c>
      <x:c r="C7" s="24"/>
      <x:c r="D7" s="24"/>
      <x:c r="E7" s="24"/>
      <x:c r="F7" s="24"/>
      <x:c r="G7" s="24"/>
      <x:c r="H7" s="29"/>
    </x:row>
    <x:row r="8" ht="38" customHeight="1">
      <x:c r="A8" s="28" t="str">
        <x:v>ความเสี่ยงหลัก</x:v>
      </x:c>
      <x:c r="B8" s="24" t="str">
        <x:v>สิทธิ์เข้าถึงผิด role, ลบข้อมูลที่ถูกอ้างอิง, คะแนน Part/Question ไม่สัมพันธ์, เผยแพร่ข้อสอบไม่ครบ, dashboard คำนวณผิด และข้อมูลจำนวนมากทำให้หน้าช้า</x:v>
      </x:c>
      <x:c r="C8" s="24"/>
      <x:c r="D8" s="24"/>
      <x:c r="E8" s="24"/>
      <x:c r="F8" s="24"/>
      <x:c r="G8" s="24"/>
      <x:c r="H8" s="29"/>
    </x:row>
    <x:row r="9" ht="38" customHeight="1">
      <x:c r="A9" s="28" t="str">
        <x:v>ไม่อยู่ในขอบเขต</x:v>
      </x:c>
      <x:c r="B9" s="24" t="str">
        <x:v>Penetration test เชิงลึก, Load test ระดับ production, บริการภายนอกที่ไม่มี test environment และข้อมูล production</x:v>
      </x:c>
      <x:c r="C9" s="24"/>
      <x:c r="D9" s="24"/>
      <x:c r="E9" s="24"/>
      <x:c r="F9" s="24"/>
      <x:c r="G9" s="24"/>
      <x:c r="H9" s="29"/>
    </x:row>
    <x:row r="10" ht="38" customHeight="1">
      <x:c r="A10" s="28" t="str">
        <x:v>จำนวน Test Cases</x:v>
      </x:c>
      <x:c r="B10" s="24" t="n">
        <x:v>56</x:v>
      </x:c>
      <x:c r="C10" s="24"/>
      <x:c r="D10" s="24"/>
      <x:c r="E10" s="24"/>
      <x:c r="F10" s="24"/>
      <x:c r="G10" s="24"/>
      <x:c r="H10" s="29"/>
    </x:row>
    <x:row r="11" ht="38" customHeight="1">
      <x:c r="A11" s="30" t="str">
        <x:v>หลักการ</x:v>
      </x:c>
      <x:c r="B11" s="31" t="str">
        <x:v>ใช้ข้อมูลจำลองเท่านั้น ทุก Fail ต้องระบุ Severity/Defect ID และแนบหลักฐานใน Notes</x:v>
      </x:c>
      <x:c r="C11" s="31"/>
      <x:c r="D11" s="31"/>
      <x:c r="E11" s="31"/>
      <x:c r="F11" s="31"/>
      <x:c r="G11" s="31"/>
      <x:c r="H11" s="32"/>
    </x:row>
    <x:row r="13" ht="25" customHeight="1">
      <x:c r="A13" s="35" t="str">
        <x:v>1. Test Strategy</x:v>
      </x:c>
      <x:c r="B13" s="35" t="str">
        <x:v>1. Test Strategy</x:v>
      </x:c>
      <x:c r="C13" s="35" t="str">
        <x:v>1. Test Strategy</x:v>
      </x:c>
      <x:c r="D13" s="35" t="str">
        <x:v>1. Test Strategy</x:v>
      </x:c>
      <x:c r="E13" s="35" t="str">
        <x:v>1. Test Strategy</x:v>
      </x:c>
      <x:c r="F13" s="35" t="str">
        <x:v>1. Test Strategy</x:v>
      </x:c>
      <x:c r="G13" s="35" t="str">
        <x:v>1. Test Strategy</x:v>
      </x:c>
      <x:c r="H13" s="35" t="str">
        <x:v>1. Test Strategy</x:v>
      </x:c>
    </x:row>
    <x:row r="14">
      <x:c r="A14" s="94" t="str">
        <x:v>ระดับ</x:v>
      </x:c>
      <x:c r="B14" s="94" t="str">
        <x:v>เป้าหมาย</x:v>
      </x:c>
      <x:c r="C14" s="94" t="str">
        <x:v>สิ่งที่ตรวจ</x:v>
      </x:c>
      <x:c r="D14" s="94" t="str">
        <x:v>เจ้าของ</x:v>
      </x:c>
      <x:c r="E14" s="94" t="str">
        <x:v>หลักฐาน</x:v>
      </x:c>
      <x:c r="F14" s="94" t="str">
        <x:v>ความถี่</x:v>
      </x:c>
      <x:c r="G14" s="94" t="str">
        <x:v>เครื่องมือ</x:v>
      </x:c>
      <x:c r="H14" s="94" t="str">
        <x:v>เกณฑ์ผ่าน</x:v>
      </x:c>
    </x:row>
    <x:row r="15">
      <x:c r="A15" s="95" t="str">
        <x:v>Smoke</x:v>
      </x:c>
      <x:c r="B15" s="96" t="str">
        <x:v>ยืนยันว่า build เปิดและ flow หลักเริ่มได้</x:v>
      </x:c>
      <x:c r="C15" s="96" t="str">
        <x:v>Login + เปิดทุกหน้า + API หลัก</x:v>
      </x:c>
      <x:c r="D15" s="96" t="str">
        <x:v>QA</x:v>
      </x:c>
      <x:c r="E15" s="96" t="str">
        <x:v>ภาพ/ผลรัน</x:v>
      </x:c>
      <x:c r="F15" s="96" t="str">
        <x:v>ทุก build</x:v>
      </x:c>
      <x:c r="G15" s="96" t="str">
        <x:v>Device/Browser</x:v>
      </x:c>
      <x:c r="H15" s="97" t="str">
        <x:v>P0 smoke ผ่าน</x:v>
      </x:c>
    </x:row>
    <x:row r="16">
      <x:c r="A16" s="95" t="str">
        <x:v>Functional</x:v>
      </x:c>
      <x:c r="B16" s="96" t="str">
        <x:v>ตรวจ business flow</x:v>
      </x:c>
      <x:c r="C16" s="96" t="str">
        <x:v>Admin LogIn, Dashboard, Manage Users, Subject Type, Subject และ Exam Management</x:v>
      </x:c>
      <x:c r="D16" s="96" t="str">
        <x:v>QA</x:v>
      </x:c>
      <x:c r="E16" s="96" t="str">
        <x:v>Actual result</x:v>
      </x:c>
      <x:c r="F16" s="96" t="str">
        <x:v>ทุก sprint</x:v>
      </x:c>
      <x:c r="G16" s="96" t="str">
        <x:v>Manual + automated</x:v>
      </x:c>
      <x:c r="H16" s="97" t="str">
        <x:v>Expected result ตรง</x:v>
      </x:c>
    </x:row>
    <x:row r="17">
      <x:c r="A17" s="95" t="str">
        <x:v>Integration</x:v>
      </x:c>
      <x:c r="B17" s="96" t="str">
        <x:v>ตรวจ Frontend ↔ Backend ↔ Database</x:v>
      </x:c>
      <x:c r="C17" s="96" t="str">
        <x:v>Auth, CRUD, persistence, cross-channel</x:v>
      </x:c>
      <x:c r="D17" s="96" t="str">
        <x:v>QA/Dev</x:v>
      </x:c>
      <x:c r="E17" s="96" t="str">
        <x:v>Request/response</x:v>
      </x:c>
      <x:c r="F17" s="96" t="str">
        <x:v>ทุก API change</x:v>
      </x:c>
      <x:c r="G17" s="96" t="str">
        <x:v>Network log</x:v>
      </x:c>
      <x:c r="H17" s="97" t="str">
        <x:v>ข้อมูลคงอยู่และไม่ซ้ำ</x:v>
      </x:c>
    </x:row>
    <x:row r="18">
      <x:c r="A18" s="95" t="str">
        <x:v>UI/Responsive</x:v>
      </x:c>
      <x:c r="B18" s="96" t="str">
        <x:v>ตรวจ layout และการเข้าถึง</x:v>
      </x:c>
      <x:c r="C18" s="96" t="str">
        <x:v>Viewport/device, dropdown, modal, scroll</x:v>
      </x:c>
      <x:c r="D18" s="96" t="str">
        <x:v>QA/Designer</x:v>
      </x:c>
      <x:c r="E18" s="96" t="str">
        <x:v>Screenshot</x:v>
      </x:c>
      <x:c r="F18" s="96" t="str">
        <x:v>ทุก UI change</x:v>
      </x:c>
      <x:c r="G18" s="96" t="str">
        <x:v>Viewport matrix</x:v>
      </x:c>
      <x:c r="H18" s="97" t="str">
        <x:v>ไม่ล้น/ไม่ถูกบัง</x:v>
      </x:c>
    </x:row>
    <x:row r="19">
      <x:c r="A19" s="95" t="str">
        <x:v>Regression</x:v>
      </x:c>
      <x:c r="B19" s="96" t="str">
        <x:v>ตรวจว่าฟังก์ชันเดิมไม่เสีย</x:v>
      </x:c>
      <x:c r="C19" s="96" t="str">
        <x:v>Shared components และ calculations</x:v>
      </x:c>
      <x:c r="D19" s="96" t="str">
        <x:v>QA</x:v>
      </x:c>
      <x:c r="E19" s="96" t="str">
        <x:v>Regression report</x:v>
      </x:c>
      <x:c r="F19" s="96" t="str">
        <x:v>ก่อน release</x:v>
      </x:c>
      <x:c r="G19" s="96" t="str">
        <x:v>Automated + manual</x:v>
      </x:c>
      <x:c r="H19" s="97" t="str">
        <x:v>P0/P1 ผ่าน</x:v>
      </x:c>
    </x:row>
    <x:row r="20">
      <x:c r="A20" s="95" t="str">
        <x:v>Security/Recovery</x:v>
      </x:c>
      <x:c r="B20" s="96" t="str">
        <x:v>ตรวจ session/permission/error</x:v>
      </x:c>
      <x:c r="C20" s="96" t="str">
        <x:v>401, timeout, offline, double submit</x:v>
      </x:c>
      <x:c r="D20" s="96" t="str">
        <x:v>QA/Dev</x:v>
      </x:c>
      <x:c r="E20" s="96" t="str">
        <x:v>Log ที่ปกปิดข้อมูล</x:v>
      </x:c>
      <x:c r="F20" s="96" t="str">
        <x:v>ก่อน release</x:v>
      </x:c>
      <x:c r="G20" s="96" t="str">
        <x:v>API/client tools</x:v>
      </x:c>
      <x:c r="H20" s="97" t="str">
        <x:v>ไม่มีข้อมูลรั่ว/ซ้ำ</x:v>
      </x:c>
    </x:row>
    <x:row r="21">
      <x:c r="A21" s="95"/>
      <x:c r="B21" s="96"/>
      <x:c r="C21" s="96"/>
      <x:c r="D21" s="96"/>
      <x:c r="E21" s="96"/>
      <x:c r="F21" s="96"/>
      <x:c r="G21" s="96"/>
      <x:c r="H21" s="97"/>
    </x:row>
    <x:row r="22" ht="25" customHeight="1">
      <x:c r="A22" s="98" t="str">
        <x:v>2. Environment Matrix</x:v>
      </x:c>
      <x:c r="B22" s="99" t="str">
        <x:v>2. Environment Matrix</x:v>
      </x:c>
      <x:c r="C22" s="99" t="str">
        <x:v>2. Environment Matrix</x:v>
      </x:c>
      <x:c r="D22" s="99" t="str">
        <x:v>2. Environment Matrix</x:v>
      </x:c>
      <x:c r="E22" s="99" t="str">
        <x:v>2. Environment Matrix</x:v>
      </x:c>
      <x:c r="F22" s="99" t="str">
        <x:v>2. Environment Matrix</x:v>
      </x:c>
      <x:c r="G22" s="99" t="str">
        <x:v>2. Environment Matrix</x:v>
      </x:c>
      <x:c r="H22" s="100" t="str">
        <x:v>2. Environment Matrix</x:v>
      </x:c>
    </x:row>
    <x:row r="23">
      <x:c r="A23" s="94" t="str">
        <x:v>กลุ่ม</x:v>
      </x:c>
      <x:c r="B23" s="94" t="str">
        <x:v>ระบบ/Browser</x:v>
      </x:c>
      <x:c r="C23" s="94" t="str">
        <x:v>ขนาด/Viewport</x:v>
      </x:c>
      <x:c r="D23" s="94" t="str">
        <x:v>Network</x:v>
      </x:c>
      <x:c r="E23" s="94" t="str">
        <x:v>ภาษา/Timezone</x:v>
      </x:c>
      <x:c r="F23" s="94" t="str">
        <x:v>หมายเหตุ</x:v>
      </x:c>
      <x:c r="G23" s="96"/>
      <x:c r="H23" s="97"/>
    </x:row>
    <x:row r="24">
      <x:c r="A24" s="95" t="str">
        <x:v>Chrome</x:v>
      </x:c>
      <x:c r="B24" s="96" t="str">
        <x:v>Chrome ล่าสุด</x:v>
      </x:c>
      <x:c r="C24" s="96" t="str">
        <x:v>1280x720 / 1920x1080</x:v>
      </x:c>
      <x:c r="D24" s="96" t="str">
        <x:v>ปกติ/ช้า</x:v>
      </x:c>
      <x:c r="E24" s="96" t="str">
        <x:v>ไทย / Asia-Bangkok</x:v>
      </x:c>
      <x:c r="F24" s="96" t="str">
        <x:v>ทดสอบหลัก</x:v>
      </x:c>
      <x:c r="G24" s="96"/>
      <x:c r="H24" s="97"/>
    </x:row>
    <x:row r="25">
      <x:c r="A25" s="95" t="str">
        <x:v>Edge</x:v>
      </x:c>
      <x:c r="B25" s="96" t="str">
        <x:v>Edge ล่าสุด</x:v>
      </x:c>
      <x:c r="C25" s="96" t="str">
        <x:v>1366x768</x:v>
      </x:c>
      <x:c r="D25" s="96" t="str">
        <x:v>ปกติ</x:v>
      </x:c>
      <x:c r="E25" s="96" t="str">
        <x:v>ไทย / Asia-Bangkok</x:v>
      </x:c>
      <x:c r="F25" s="96" t="str">
        <x:v>Compatibility</x:v>
      </x:c>
      <x:c r="G25" s="96"/>
      <x:c r="H25" s="97"/>
    </x:row>
    <x:row r="26">
      <x:c r="A26" s="95" t="str">
        <x:v>Security</x:v>
      </x:c>
      <x:c r="B26" s="96" t="str">
        <x:v>Chrome Private</x:v>
      </x:c>
      <x:c r="C26" s="96" t="str">
        <x:v>1366x768</x:v>
      </x:c>
      <x:c r="D26" s="96" t="str">
        <x:v>ปกติ</x:v>
      </x:c>
      <x:c r="E26" s="96" t="str">
        <x:v>ไทย / Asia-Bangkok</x:v>
      </x:c>
      <x:c r="F26" s="96" t="str">
        <x:v>Role/expired session/cache</x:v>
      </x:c>
      <x:c r="G26" s="96"/>
      <x:c r="H26" s="97"/>
    </x:row>
    <x:row r="27">
      <x:c r="A27" s="95" t="str">
        <x:v>Large data</x:v>
      </x:c>
      <x:c r="B27" s="96" t="str">
        <x:v>Chrome ล่าสุด</x:v>
      </x:c>
      <x:c r="C27" s="96" t="str">
        <x:v>1920x1080</x:v>
      </x:c>
      <x:c r="D27" s="96" t="str">
        <x:v>ปกติ</x:v>
      </x:c>
      <x:c r="E27" s="96" t="str">
        <x:v>ไทย / Asia-Bangkok</x:v>
      </x:c>
      <x:c r="F27" s="96" t="str">
        <x:v>1,000 users / 100 exams</x:v>
      </x:c>
      <x:c r="G27" s="96"/>
      <x:c r="H27" s="97"/>
    </x:row>
    <x:row r="28">
      <x:c r="A28" s="95"/>
      <x:c r="B28" s="96"/>
      <x:c r="C28" s="96"/>
      <x:c r="D28" s="96"/>
      <x:c r="E28" s="96"/>
      <x:c r="F28" s="96"/>
      <x:c r="G28" s="96"/>
      <x:c r="H28" s="97"/>
    </x:row>
    <x:row r="29" ht="25" customHeight="1">
      <x:c r="A29" s="101" t="str">
        <x:v>3. Entry / Exit Criteria</x:v>
      </x:c>
      <x:c r="B29" s="102" t="str">
        <x:v>3. Entry / Exit Criteria</x:v>
      </x:c>
      <x:c r="C29" s="102" t="str">
        <x:v>3. Entry / Exit Criteria</x:v>
      </x:c>
      <x:c r="D29" s="102" t="str">
        <x:v>3. Entry / Exit Criteria</x:v>
      </x:c>
      <x:c r="E29" s="102" t="str">
        <x:v>3. Entry / Exit Criteria</x:v>
      </x:c>
      <x:c r="F29" s="102" t="str">
        <x:v>3. Entry / Exit Criteria</x:v>
      </x:c>
      <x:c r="G29" s="102" t="str">
        <x:v>3. Entry / Exit Criteria</x:v>
      </x:c>
      <x:c r="H29" s="103" t="str">
        <x:v>3. Entry / Exit Criteria</x:v>
      </x:c>
    </x:row>
    <x:row r="30">
      <x:c r="A30" s="94" t="str">
        <x:v>Entry Criteria</x:v>
      </x:c>
      <x:c r="B30" s="94" t="str">
        <x:v>รายละเอียด</x:v>
      </x:c>
      <x:c r="C30" s="94" t="str">
        <x:v>Exit Criteria</x:v>
      </x:c>
      <x:c r="D30" s="94" t="str">
        <x:v>รายละเอียด</x:v>
      </x:c>
      <x:c r="E30" s="96"/>
      <x:c r="F30" s="96"/>
      <x:c r="G30" s="96"/>
      <x:c r="H30" s="97"/>
    </x:row>
    <x:row r="31">
      <x:c r="A31" s="95" t="str">
        <x:v>Build พร้อม</x:v>
      </x:c>
      <x:c r="B31" s="96" t="str">
        <x:v>ติดตั้ง/เปิดได้และระบุ version</x:v>
      </x:c>
      <x:c r="C31" s="96" t="str">
        <x:v>P0/P1</x:v>
      </x:c>
      <x:c r="D31" s="96" t="str">
        <x:v>ผ่านทั้งหมดหรืออนุมัติความเสี่ยงเป็นลายลักษณ์อักษร</x:v>
      </x:c>
      <x:c r="E31" s="96"/>
      <x:c r="F31" s="96"/>
      <x:c r="G31" s="96"/>
      <x:c r="H31" s="97"/>
    </x:row>
    <x:row r="32">
      <x:c r="A32" s="95" t="str">
        <x:v>Environment พร้อม</x:v>
      </x:c>
      <x:c r="B32" s="96" t="str">
        <x:v>QA API/DB และ test account ใช้งานได้</x:v>
      </x:c>
      <x:c r="C32" s="96" t="str">
        <x:v>P2/P3</x:v>
      </x:c>
      <x:c r="D32" s="96" t="str">
        <x:v>ไม่มี defect ที่ขวาง flow หลัก</x:v>
      </x:c>
      <x:c r="E32" s="96"/>
      <x:c r="F32" s="96"/>
      <x:c r="G32" s="96"/>
      <x:c r="H32" s="97"/>
    </x:row>
    <x:row r="33">
      <x:c r="A33" s="95" t="str">
        <x:v>Test data พร้อม</x:v>
      </x:c>
      <x:c r="B33" s="96" t="str">
        <x:v>มีทุก business state ที่ระบุใน Test Data</x:v>
      </x:c>
      <x:c r="C33" s="96" t="str">
        <x:v>Coverage</x:v>
      </x:c>
      <x:c r="D33" s="96" t="str">
        <x:v>ดำเนินการ Planned P0/P1 ครบ 100%</x:v>
      </x:c>
      <x:c r="E33" s="96"/>
      <x:c r="F33" s="96"/>
      <x:c r="G33" s="96"/>
      <x:c r="H33" s="97"/>
    </x:row>
    <x:row r="34">
      <x:c r="A34" s="95" t="str">
        <x:v>Requirements ชัด</x:v>
      </x:c>
      <x:c r="B34" s="96" t="str">
        <x:v>Business rules/API contract ยืนยันแล้ว</x:v>
      </x:c>
      <x:c r="C34" s="96" t="str">
        <x:v>Regression</x:v>
      </x:c>
      <x:c r="D34" s="96" t="str">
        <x:v>Smoke และ regression ที่เกี่ยวข้องผ่าน</x:v>
      </x:c>
      <x:c r="E34" s="96"/>
      <x:c r="F34" s="96"/>
      <x:c r="G34" s="96"/>
      <x:c r="H34" s="97"/>
    </x:row>
    <x:row r="35">
      <x:c r="A35" s="95" t="str">
        <x:v>Dependencies พร้อม</x:v>
      </x:c>
      <x:c r="B35" s="96" t="str">
        <x:v>Migration/config ที่จำเป็นรันแล้ว</x:v>
      </x:c>
      <x:c r="C35" s="96" t="str">
        <x:v>Data integrity</x:v>
      </x:c>
      <x:c r="D35" s="96" t="str">
        <x:v>ไม่มีข้อมูลซ้ำ/สูญหาย</x:v>
      </x:c>
      <x:c r="E35" s="96"/>
      <x:c r="F35" s="96"/>
      <x:c r="G35" s="96"/>
      <x:c r="H35" s="97"/>
    </x:row>
    <x:row r="36">
      <x:c r="A36" s="95" t="str">
        <x:v>Owner พร้อม</x:v>
      </x:c>
      <x:c r="B36" s="96" t="str">
        <x:v>มีผู้รับผิดชอบ triage</x:v>
      </x:c>
      <x:c r="C36" s="96" t="str">
        <x:v>Sign-off</x:v>
      </x:c>
      <x:c r="D36" s="96" t="str">
        <x:v>QA/PO/Tech Lead ยืนยันผล</x:v>
      </x:c>
      <x:c r="E36" s="96"/>
      <x:c r="F36" s="96"/>
      <x:c r="G36" s="96"/>
      <x:c r="H36" s="97"/>
    </x:row>
    <x:row r="37">
      <x:c r="A37" s="95"/>
      <x:c r="B37" s="96"/>
      <x:c r="C37" s="96"/>
      <x:c r="D37" s="96"/>
      <x:c r="E37" s="96"/>
      <x:c r="F37" s="96"/>
      <x:c r="G37" s="96"/>
      <x:c r="H37" s="97"/>
    </x:row>
    <x:row r="38" ht="25" customHeight="1">
      <x:c r="A38" s="104" t="str">
        <x:v>4. Priority / Severity</x:v>
      </x:c>
      <x:c r="B38" s="105" t="str">
        <x:v>4. Priority / Severity</x:v>
      </x:c>
      <x:c r="C38" s="105" t="str">
        <x:v>4. Priority / Severity</x:v>
      </x:c>
      <x:c r="D38" s="105" t="str">
        <x:v>4. Priority / Severity</x:v>
      </x:c>
      <x:c r="E38" s="105" t="str">
        <x:v>4. Priority / Severity</x:v>
      </x:c>
      <x:c r="F38" s="105" t="str">
        <x:v>4. Priority / Severity</x:v>
      </x:c>
      <x:c r="G38" s="105" t="str">
        <x:v>4. Priority / Severity</x:v>
      </x:c>
      <x:c r="H38" s="106" t="str">
        <x:v>4. Priority / Severity</x:v>
      </x:c>
    </x:row>
    <x:row r="39">
      <x:c r="A39" s="94" t="str">
        <x:v>Priority</x:v>
      </x:c>
      <x:c r="B39" s="94" t="str">
        <x:v>ความหมาย</x:v>
      </x:c>
      <x:c r="C39" s="94" t="str">
        <x:v>กำหนดทดสอบ</x:v>
      </x:c>
      <x:c r="D39" s="94" t="str">
        <x:v>ตัวอย่าง</x:v>
      </x:c>
      <x:c r="E39" s="94" t="str">
        <x:v>Severity</x:v>
      </x:c>
      <x:c r="F39" s="94" t="str">
        <x:v>ผลกระทบ</x:v>
      </x:c>
      <x:c r="G39" s="94" t="str">
        <x:v>ตัวอย่าง</x:v>
      </x:c>
      <x:c r="H39" s="94" t="str">
        <x:v>การจัดการ</x:v>
      </x:c>
    </x:row>
    <x:row r="40">
      <x:c r="A40" s="95" t="str">
        <x:v>P0-Critical</x:v>
      </x:c>
      <x:c r="B40" s="96" t="str">
        <x:v>เส้นทางหลัก/ข้อมูล/ความปลอดภัย</x:v>
      </x:c>
      <x:c r="C40" s="96" t="str">
        <x:v>ทุก build/release</x:v>
      </x:c>
      <x:c r="D40" s="96" t="str">
        <x:v>Login, Save, Submit, Calculation</x:v>
      </x:c>
      <x:c r="E40" s="96" t="str">
        <x:v>S1-Blocker</x:v>
      </x:c>
      <x:c r="F40" s="96" t="str">
        <x:v>ระบบใช้ต่อไม่ได้/ข้อมูลเสีย</x:v>
      </x:c>
      <x:c r="G40" s="96" t="str">
        <x:v>Login ไม่ได้/คะแนนผิด</x:v>
      </x:c>
      <x:c r="H40" s="97" t="str">
        <x:v>หยุด release</x:v>
      </x:c>
    </x:row>
    <x:row r="41">
      <x:c r="A41" s="95" t="str">
        <x:v>P1-High</x:v>
      </x:c>
      <x:c r="B41" s="96" t="str">
        <x:v>ฟังก์ชันสำคัญ</x:v>
      </x:c>
      <x:c r="C41" s="96" t="str">
        <x:v>ทุก sprint</x:v>
      </x:c>
      <x:c r="D41" s="96" t="str">
        <x:v>CRUD, responsive หลัก</x:v>
      </x:c>
      <x:c r="E41" s="96" t="str">
        <x:v>S2-Major</x:v>
      </x:c>
      <x:c r="F41" s="96" t="str">
        <x:v>ฟังก์ชันหลักเสียแต่มีทางเลี่ยง</x:v>
      </x:c>
      <x:c r="G41" s="96" t="str">
        <x:v>แก้ไข/ลบไม่ได้</x:v>
      </x:c>
      <x:c r="H41" s="97" t="str">
        <x:v>แก้ก่อน release</x:v>
      </x:c>
    </x:row>
    <x:row r="42">
      <x:c r="A42" s="95" t="str">
        <x:v>P2-Medium</x:v>
      </x:c>
      <x:c r="B42" s="96" t="str">
        <x:v>รองรับบางกรณี/ความสะดวก</x:v>
      </x:c>
      <x:c r="C42" s="96" t="str">
        <x:v>Regression</x:v>
      </x:c>
      <x:c r="D42" s="96" t="str">
        <x:v>Hover, keyboard, browser รอง</x:v>
      </x:c>
      <x:c r="E42" s="96" t="str">
        <x:v>S3-Minor</x:v>
      </x:c>
      <x:c r="F42" s="96" t="str">
        <x:v>ไม่ขวาง flow</x:v>
      </x:c>
      <x:c r="G42" s="96" t="str">
        <x:v>สี/ข้อความผิด</x:v>
      </x:c>
      <x:c r="H42" s="97" t="str">
        <x:v>วางแผนแก้</x:v>
      </x:c>
    </x:row>
    <x:row r="43">
      <x:c r="A43" s="95" t="str">
        <x:v>P3-Low</x:v>
      </x:c>
      <x:c r="B43" s="96" t="str">
        <x:v>ปรับปรุงเล็กน้อย</x:v>
      </x:c>
      <x:c r="C43" s="96" t="str">
        <x:v>เมื่อมีเวลา</x:v>
      </x:c>
      <x:c r="D43" s="96" t="str">
        <x:v>Cosmetic</x:v>
      </x:c>
      <x:c r="E43" s="96" t="str">
        <x:v>S4-Cosmetic</x:v>
      </x:c>
      <x:c r="F43" s="96" t="str">
        <x:v>ความสวยงาม</x:v>
      </x:c>
      <x:c r="G43" s="96" t="str">
        <x:v>Spacing</x:v>
      </x:c>
      <x:c r="H43" s="97" t="str">
        <x:v>Backlog</x:v>
      </x:c>
    </x:row>
    <x:row r="44">
      <x:c r="A44" s="95"/>
      <x:c r="B44" s="96"/>
      <x:c r="C44" s="96"/>
      <x:c r="D44" s="96"/>
      <x:c r="E44" s="96"/>
      <x:c r="F44" s="96"/>
      <x:c r="G44" s="96"/>
      <x:c r="H44" s="97"/>
    </x:row>
    <x:row r="45" ht="25" customHeight="1">
      <x:c r="A45" s="107" t="str">
        <x:v>5. Execution Workflow</x:v>
      </x:c>
      <x:c r="B45" s="108" t="str">
        <x:v>5. Execution Workflow</x:v>
      </x:c>
      <x:c r="C45" s="108" t="str">
        <x:v>5. Execution Workflow</x:v>
      </x:c>
      <x:c r="D45" s="108" t="str">
        <x:v>5. Execution Workflow</x:v>
      </x:c>
      <x:c r="E45" s="108" t="str">
        <x:v>5. Execution Workflow</x:v>
      </x:c>
      <x:c r="F45" s="108" t="str">
        <x:v>5. Execution Workflow</x:v>
      </x:c>
      <x:c r="G45" s="108" t="str">
        <x:v>5. Execution Workflow</x:v>
      </x:c>
      <x:c r="H45" s="109" t="str">
        <x:v>5. Execution Workflow</x:v>
      </x:c>
    </x:row>
    <x:row r="46">
      <x:c r="A46" s="95" t="str">
        <x:v>1</x:v>
      </x:c>
      <x:c r="B46" s="96" t="str">
        <x:v>เลือก Test Case ตามหน้า/Priority</x:v>
      </x:c>
      <x:c r="C46" s="96" t="str">
        <x:v>2</x:v>
      </x:c>
      <x:c r="D46" s="96" t="str">
        <x:v>เตรียม Test Data</x:v>
      </x:c>
      <x:c r="E46" s="96" t="str">
        <x:v>3</x:v>
      </x:c>
      <x:c r="F46" s="96" t="str">
        <x:v>รันและกรอก Actual Result</x:v>
      </x:c>
      <x:c r="G46" s="96" t="str">
        <x:v>4</x:v>
      </x:c>
      <x:c r="H46" s="97" t="str">
        <x:v>เลือก Status</x:v>
      </x:c>
    </x:row>
    <x:row r="47">
      <x:c r="A47" s="95" t="str">
        <x:v>5</x:v>
      </x:c>
      <x:c r="B47" s="96" t="str">
        <x:v>ถ้า Fail ใส่ Severity/Defect ID</x:v>
      </x:c>
      <x:c r="C47" s="96" t="str">
        <x:v>6</x:v>
      </x:c>
      <x:c r="D47" s="96" t="str">
        <x:v>แนบหลักฐานใน Notes</x:v>
      </x:c>
      <x:c r="E47" s="96" t="str">
        <x:v>7</x:v>
      </x:c>
      <x:c r="F47" s="96" t="str">
        <x:v>Retest หลังแก้</x:v>
      </x:c>
      <x:c r="G47" s="96" t="str">
        <x:v>8</x:v>
      </x:c>
      <x:c r="H47" s="97" t="str">
        <x:v>รัน Regression ที่เกี่ยวข้อง</x:v>
      </x:c>
    </x:row>
    <x:row r="48">
      <x:c r="A48" s="95" t="str">
        <x:v>Status</x:v>
      </x:c>
      <x:c r="B48" s="96" t="str">
        <x:v>Not Run / Pass / Fail / Blocked</x:v>
      </x:c>
      <x:c r="C48" s="96" t="str">
        <x:v>เป้าหมาย</x:v>
      </x:c>
      <x:c r="D48" s="96" t="str">
        <x:v>Pass rate P0/P1 = 100%</x:v>
      </x:c>
      <x:c r="E48" s="96" t="str">
        <x:v>Triage</x:v>
      </x:c>
      <x:c r="F48" s="96" t="str">
        <x:v>P0/S1 ก่อน</x:v>
      </x:c>
      <x:c r="G48" s="96" t="str">
        <x:v>Report</x:v>
      </x:c>
      <x:c r="H48" s="97" t="str">
        <x:v>ใช้ชีต Coverage</x:v>
      </x:c>
    </x:row>
    <x:row r="49">
      <x:c r="A49" s="95" t="str">
        <x:v>Version</x:v>
      </x:c>
      <x:c r="B49" s="96" t="str">
        <x:v>1.0</x:v>
      </x:c>
      <x:c r="C49" s="96" t="str">
        <x:v>วันที่</x:v>
      </x:c>
      <x:c r="D49" s="96" t="str">
        <x:v>18/08/2569</x:v>
      </x:c>
      <x:c r="E49" s="96" t="str">
        <x:v>เจ้าของ</x:v>
      </x:c>
      <x:c r="F49" s="96" t="str">
        <x:v>QA Lead</x:v>
      </x:c>
      <x:c r="G49" s="96" t="str">
        <x:v>อนุมัติ</x:v>
      </x:c>
      <x:c r="H49" s="97" t="str">
        <x:v>PO / Tech Lead</x:v>
      </x:c>
    </x:row>
    <x:row r="50">
      <x:c r="A50" s="95" t="str">
        <x:v>หมายเหตุ</x:v>
      </x:c>
      <x:c r="B50" s="96" t="str">
        <x:v>เพิ่ม Test Case ได้ แต่ห้ามใช้ ID ซ้ำ</x:v>
      </x:c>
      <x:c r="C50" s="96" t="str"/>
      <x:c r="D50" s="96" t="str"/>
      <x:c r="E50" s="96" t="str"/>
      <x:c r="F50" s="96" t="str"/>
      <x:c r="G50" s="96" t="str"/>
      <x:c r="H50" s="97" t="str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A22:H22"/>
    <x:mergeCell ref="A29:H29"/>
    <x:mergeCell ref="A38:H38"/>
    <x:mergeCell ref="A45:H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26" hidden="0" customWidth="1"/>
    <x:col min="5" max="5" width="18" hidden="0" customWidth="1"/>
    <x:col min="6" max="6" width="14" hidden="0" customWidth="1"/>
    <x:col min="7" max="7" width="30" hidden="0" customWidth="1"/>
    <x:col min="8" max="8" width="42" hidden="0" customWidth="1"/>
    <x:col min="9" max="9" width="25" hidden="0" customWidth="1"/>
    <x:col min="10" max="10" width="42" hidden="0" customWidth="1"/>
    <x:col min="11" max="11" width="27" hidden="0" customWidth="1"/>
    <x:col min="12" max="12" width="24" hidden="0" customWidth="1"/>
    <x:col min="13" max="13" width="32" hidden="0" customWidth="1"/>
    <x:col min="14" max="14" width="13" hidden="0" customWidth="1"/>
    <x:col min="15" max="15" width="16" hidden="0" customWidth="1"/>
    <x:col min="16" max="16" width="14" hidden="0" customWidth="1"/>
    <x:col min="17" max="17" width="16" hidden="0" customWidth="1"/>
    <x:col min="18" max="18" width="14" hidden="0" customWidth="1"/>
    <x:col min="19" max="19" width="28" hidden="0" customWidth="1"/>
  </x:cols>
  <x:sheetData>
    <x:row r="1" ht="34" customHeight="1">
      <x:c r="A1" s="9" t="str">
        <x:v>Planentrix — Web Admin Test Cases</x:v>
      </x:c>
      <x:c r="B1" s="10" t="str">
        <x:v>Planentrix — Web Admin Test Cases</x:v>
      </x:c>
      <x:c r="C1" s="10" t="str">
        <x:v>Planentrix — Web Admin Test Cases</x:v>
      </x:c>
      <x:c r="D1" s="10" t="str">
        <x:v>Planentrix — Web Admin Test Cases</x:v>
      </x:c>
      <x:c r="E1" s="10" t="str">
        <x:v>Planentrix — Web Admin Test Cases</x:v>
      </x:c>
      <x:c r="F1" s="10" t="str">
        <x:v>Planentrix — Web Admin Test Cases</x:v>
      </x:c>
      <x:c r="G1" s="10" t="str">
        <x:v>Planentrix — Web Admin Test Cases</x:v>
      </x:c>
      <x:c r="H1" s="10" t="str">
        <x:v>Planentrix — Web Admin Test Cases</x:v>
      </x:c>
      <x:c r="I1" s="10" t="str">
        <x:v>Planentrix — Web Admin Test Cases</x:v>
      </x:c>
      <x:c r="J1" s="10" t="str">
        <x:v>Planentrix — Web Admin Test Cases</x:v>
      </x:c>
      <x:c r="K1" s="10" t="str">
        <x:v>Planentrix — Web Admin Test Cases</x:v>
      </x:c>
      <x:c r="L1" s="10" t="str">
        <x:v>Planentrix — Web Admin Test Cases</x:v>
      </x:c>
      <x:c r="M1" s="10" t="str">
        <x:v>Planentrix — Web Admin Test Cases</x:v>
      </x:c>
      <x:c r="N1" s="10" t="str">
        <x:v>Planentrix — Web Admin Test Cases</x:v>
      </x:c>
      <x:c r="O1" s="10" t="str">
        <x:v>Planentrix — Web Admin Test Cases</x:v>
      </x:c>
      <x:c r="P1" s="10" t="str">
        <x:v>Planentrix — Web Admin Test Cases</x:v>
      </x:c>
      <x:c r="Q1" s="10" t="str">
        <x:v>Planentrix — Web Admin Test Cases</x:v>
      </x:c>
      <x:c r="R1" s="10" t="str">
        <x:v>Planentrix — Web Admin Test Cases</x:v>
      </x:c>
      <x:c r="S1" s="11" t="str">
        <x:v>Planentrix — Web Admin Test Cases</x:v>
      </x:c>
    </x:row>
    <x:row r="2" ht="24" customHeight="1">
      <x:c r="A2" s="15" t="str">
        <x:v>Test Cases เฉพาะเว็บส่วนแอดมิน จำนวน 56 รายการ | กรอกผลในคอลัมน์ Actual Result, Status, Severity และ Defect ID</x:v>
      </x:c>
      <x:c r="B2" s="15" t="str">
        <x:v>Test Cases เฉพาะเว็บส่วนแอดมิน จำนวน 56 รายการ | กรอกผลในคอลัมน์ Actual Result, Status, Severity และ Defect ID</x:v>
      </x:c>
      <x:c r="C2" s="15" t="str">
        <x:v>Test Cases เฉพาะเว็บส่วนแอดมิน จำนวน 56 รายการ | กรอกผลในคอลัมน์ Actual Result, Status, Severity และ Defect ID</x:v>
      </x:c>
      <x:c r="D2" s="15" t="str">
        <x:v>Test Cases เฉพาะเว็บส่วนแอดมิน จำนวน 56 รายการ | กรอกผลในคอลัมน์ Actual Result, Status, Severity และ Defect ID</x:v>
      </x:c>
      <x:c r="E2" s="15" t="str">
        <x:v>Test Cases เฉพาะเว็บส่วนแอดมิน จำนวน 56 รายการ | กรอกผลในคอลัมน์ Actual Result, Status, Severity และ Defect ID</x:v>
      </x:c>
      <x:c r="F2" s="15" t="str">
        <x:v>Test Cases เฉพาะเว็บส่วนแอดมิน จำนวน 56 รายการ | กรอกผลในคอลัมน์ Actual Result, Status, Severity และ Defect ID</x:v>
      </x:c>
      <x:c r="G2" s="15" t="str">
        <x:v>Test Cases เฉพาะเว็บส่วนแอดมิน จำนวน 56 รายการ | กรอกผลในคอลัมน์ Actual Result, Status, Severity และ Defect ID</x:v>
      </x:c>
      <x:c r="H2" s="15" t="str">
        <x:v>Test Cases เฉพาะเว็บส่วนแอดมิน จำนวน 56 รายการ | กรอกผลในคอลัมน์ Actual Result, Status, Severity และ Defect ID</x:v>
      </x:c>
      <x:c r="I2" s="15" t="str">
        <x:v>Test Cases เฉพาะเว็บส่วนแอดมิน จำนวน 56 รายการ | กรอกผลในคอลัมน์ Actual Result, Status, Severity และ Defect ID</x:v>
      </x:c>
      <x:c r="J2" s="15" t="str">
        <x:v>Test Cases เฉพาะเว็บส่วนแอดมิน จำนวน 56 รายการ | กรอกผลในคอลัมน์ Actual Result, Status, Severity และ Defect ID</x:v>
      </x:c>
      <x:c r="K2" s="15" t="str">
        <x:v>Test Cases เฉพาะเว็บส่วนแอดมิน จำนวน 56 รายการ | กรอกผลในคอลัมน์ Actual Result, Status, Severity และ Defect ID</x:v>
      </x:c>
      <x:c r="L2" s="15" t="str">
        <x:v>Test Cases เฉพาะเว็บส่วนแอดมิน จำนวน 56 รายการ | กรอกผลในคอลัมน์ Actual Result, Status, Severity และ Defect ID</x:v>
      </x:c>
      <x:c r="M2" s="15" t="str">
        <x:v>Test Cases เฉพาะเว็บส่วนแอดมิน จำนวน 56 รายการ | กรอกผลในคอลัมน์ Actual Result, Status, Severity และ Defect ID</x:v>
      </x:c>
      <x:c r="N2" s="15" t="str">
        <x:v>Test Cases เฉพาะเว็บส่วนแอดมิน จำนวน 56 รายการ | กรอกผลในคอลัมน์ Actual Result, Status, Severity และ Defect ID</x:v>
      </x:c>
      <x:c r="O2" s="15" t="str">
        <x:v>Test Cases เฉพาะเว็บส่วนแอดมิน จำนวน 56 รายการ | กรอกผลในคอลัมน์ Actual Result, Status, Severity และ Defect ID</x:v>
      </x:c>
      <x:c r="P2" s="15" t="str">
        <x:v>Test Cases เฉพาะเว็บส่วนแอดมิน จำนวน 56 รายการ | กรอกผลในคอลัมน์ Actual Result, Status, Severity และ Defect ID</x:v>
      </x:c>
      <x:c r="Q2" s="15" t="str">
        <x:v>Test Cases เฉพาะเว็บส่วนแอดมิน จำนวน 56 รายการ | กรอกผลในคอลัมน์ Actual Result, Status, Severity และ Defect ID</x:v>
      </x:c>
      <x:c r="R2" s="15" t="str">
        <x:v>Test Cases เฉพาะเว็บส่วนแอดมิน จำนวน 56 รายการ | กรอกผลในคอลัมน์ Actual Result, Status, Severity และ Defect ID</x:v>
      </x:c>
      <x:c r="S2" s="15" t="str">
        <x:v>Test Cases เฉพาะเว็บส่วนแอดมิน จำนวน 56 รายการ | กรอกผลในคอลัมน์ Actual Result, Status, Severity และ Defect ID</x:v>
      </x:c>
    </x:row>
    <x:row r="3">
      <x:c r="A3" s="111" t="str">
        <x:v>ทั้งหมด</x:v>
      </x:c>
      <x:c r="B3" s="111" t="n">
        <x:v>56</x:v>
      </x:c>
      <x:c r="C3" s="111" t="str">
        <x:v>ผ่าน</x:v>
      </x:c>
      <x:c r="D3" s="111" t="n">
        <x:f>COUNTIF(N7:N62,"Pass")</x:f>
        <x:v>1</x:v>
      </x:c>
      <x:c r="E3" s="111" t="str">
        <x:v>ไม่ผ่าน</x:v>
      </x:c>
      <x:c r="F3" s="111" t="n">
        <x:f>COUNTIF(N7:N62,"Fail")</x:f>
        <x:v>0</x:v>
      </x:c>
      <x:c r="G3" s="111" t="str">
        <x:v>Blocked</x:v>
      </x:c>
      <x:c r="H3" s="111" t="n">
        <x:f>COUNTIF(N7:N62,"Blocked")</x:f>
        <x:v>0</x:v>
      </x:c>
      <x:c r="J3" s="125" t="str">
        <x:v>วิธีใช้: กรอกผลจริง → เลือก Status → ถ้า Fail ระบุ Severity/Defect ID → แนบหลักฐานใน Notes</x:v>
      </x:c>
      <x:c r="K3" s="126" t="str">
        <x:v>วิธีใช้: กรอกผลจริง → เลือก Status → ถ้า Fail ระบุ Severity/Defect ID → แนบหลักฐานใน Notes</x:v>
      </x:c>
      <x:c r="L3" s="126" t="str">
        <x:v>วิธีใช้: กรอกผลจริง → เลือก Status → ถ้า Fail ระบุ Severity/Defect ID → แนบหลักฐานใน Notes</x:v>
      </x:c>
      <x:c r="M3" s="126" t="str">
        <x:v>วิธีใช้: กรอกผลจริง → เลือก Status → ถ้า Fail ระบุ Severity/Defect ID → แนบหลักฐานใน Notes</x:v>
      </x:c>
      <x:c r="N3" s="126" t="str">
        <x:v>วิธีใช้: กรอกผลจริง → เลือก Status → ถ้า Fail ระบุ Severity/Defect ID → แนบหลักฐานใน Notes</x:v>
      </x:c>
      <x:c r="O3" s="126" t="str">
        <x:v>วิธีใช้: กรอกผลจริง → เลือก Status → ถ้า Fail ระบุ Severity/Defect ID → แนบหลักฐานใน Notes</x:v>
      </x:c>
      <x:c r="P3" s="126" t="str">
        <x:v>วิธีใช้: กรอกผลจริง → เลือก Status → ถ้า Fail ระบุ Severity/Defect ID → แนบหลักฐานใน Notes</x:v>
      </x:c>
      <x:c r="Q3" s="126" t="str">
        <x:v>วิธีใช้: กรอกผลจริง → เลือก Status → ถ้า Fail ระบุ Severity/Defect ID → แนบหลักฐานใน Notes</x:v>
      </x:c>
      <x:c r="R3" s="126" t="str">
        <x:v>วิธีใช้: กรอกผลจริง → เลือก Status → ถ้า Fail ระบุ Severity/Defect ID → แนบหลักฐานใน Notes</x:v>
      </x:c>
      <x:c r="S3" s="127" t="str">
        <x:v>วิธีใช้: กรอกผลจริง → เลือก Status → ถ้า Fail ระบุ Severity/Defect ID → แนบหลักฐานใน Notes</x:v>
      </x:c>
    </x:row>
    <x:row r="4">
      <x:c r="J4" s="128" t="str">
        <x:v>วิธีใช้: กรอกผลจริง → เลือก Status → ถ้า Fail ระบุ Severity/Defect ID → แนบหลักฐานใน Notes</x:v>
      </x:c>
      <x:c r="K4" s="129" t="str">
        <x:v>วิธีใช้: กรอกผลจริง → เลือก Status → ถ้า Fail ระบุ Severity/Defect ID → แนบหลักฐานใน Notes</x:v>
      </x:c>
      <x:c r="L4" s="129" t="str">
        <x:v>วิธีใช้: กรอกผลจริง → เลือก Status → ถ้า Fail ระบุ Severity/Defect ID → แนบหลักฐานใน Notes</x:v>
      </x:c>
      <x:c r="M4" s="129" t="str">
        <x:v>วิธีใช้: กรอกผลจริง → เลือก Status → ถ้า Fail ระบุ Severity/Defect ID → แนบหลักฐานใน Notes</x:v>
      </x:c>
      <x:c r="N4" s="129" t="str">
        <x:v>วิธีใช้: กรอกผลจริง → เลือก Status → ถ้า Fail ระบุ Severity/Defect ID → แนบหลักฐานใน Notes</x:v>
      </x:c>
      <x:c r="O4" s="129" t="str">
        <x:v>วิธีใช้: กรอกผลจริง → เลือก Status → ถ้า Fail ระบุ Severity/Defect ID → แนบหลักฐานใน Notes</x:v>
      </x:c>
      <x:c r="P4" s="129" t="str">
        <x:v>วิธีใช้: กรอกผลจริง → เลือก Status → ถ้า Fail ระบุ Severity/Defect ID → แนบหลักฐานใน Notes</x:v>
      </x:c>
      <x:c r="Q4" s="129" t="str">
        <x:v>วิธีใช้: กรอกผลจริง → เลือก Status → ถ้า Fail ระบุ Severity/Defect ID → แนบหลักฐานใน Notes</x:v>
      </x:c>
      <x:c r="R4" s="129" t="str">
        <x:v>วิธีใช้: กรอกผลจริง → เลือก Status → ถ้า Fail ระบุ Severity/Defect ID → แนบหลักฐานใน Notes</x:v>
      </x:c>
      <x:c r="S4" s="130" t="str">
        <x:v>วิธีใช้: กรอกผลจริง → เลือก Status → ถ้า Fail ระบุ Severity/Defect ID → แนบหลักฐานใน Notes</x:v>
      </x:c>
    </x:row>
    <x:row r="6" ht="36" customHeight="1">
      <x:c r="A6" s="41" t="str">
        <x:v>Test Case ID</x:v>
      </x:c>
      <x:c r="B6" s="41" t="str">
        <x:v>Requirement ID</x:v>
      </x:c>
      <x:c r="C6" s="41" t="str">
        <x:v>หน้า</x:v>
      </x:c>
      <x:c r="D6" s="41" t="str">
        <x:v>ฟังก์ชัน/โมดูล</x:v>
      </x:c>
      <x:c r="E6" s="41" t="str">
        <x:v>ประเภทการทดสอบ</x:v>
      </x:c>
      <x:c r="F6" s="41" t="str">
        <x:v>Priority</x:v>
      </x:c>
      <x:c r="G6" s="41" t="str">
        <x:v>เงื่อนไขก่อนทดสอบ</x:v>
      </x:c>
      <x:c r="H6" s="41" t="str">
        <x:v>ขั้นตอนทดสอบ</x:v>
      </x:c>
      <x:c r="I6" s="41" t="str">
        <x:v>ข้อมูลทดสอบ</x:v>
      </x:c>
      <x:c r="J6" s="41" t="str">
        <x:v>ผลลัพธ์ที่คาดหวัง</x:v>
      </x:c>
      <x:c r="K6" s="41" t="str">
        <x:v>API / จุดเชื่อมต่อ</x:v>
      </x:c>
      <x:c r="L6" s="41" t="str">
        <x:v>สภาพแวดล้อม</x:v>
      </x:c>
      <x:c r="M6" s="41" t="str">
        <x:v>ผลที่เกิดขึ้นจริง</x:v>
      </x:c>
      <x:c r="N6" s="41" t="str">
        <x:v>สถานะ</x:v>
      </x:c>
      <x:c r="O6" s="41" t="str">
        <x:v>Severity (เมื่อ Fail)</x:v>
      </x:c>
      <x:c r="P6" s="41" t="str">
        <x:v>Defect ID</x:v>
      </x:c>
      <x:c r="Q6" s="41" t="str">
        <x:v>ผู้ทดสอบ</x:v>
      </x:c>
      <x:c r="R6" s="41" t="str">
        <x:v>วันที่ทดสอบ</x:v>
      </x:c>
      <x:c r="S6" s="41" t="str">
        <x:v>หมายเหตุ</x:v>
      </x:c>
    </x:row>
    <x:row r="7" ht="58" customHeight="1">
      <x:c r="A7" s="141" t="str">
        <x:v>WA-001</x:v>
      </x:c>
      <x:c r="B7" s="141" t="str">
        <x:v>REQ-WA-ADMIN-LOGIN</x:v>
      </x:c>
      <x:c r="C7" s="141" t="str">
        <x:v>Admin LogIn</x:v>
      </x:c>
      <x:c r="D7" s="141" t="str">
        <x:v>เปิดหน้า</x:v>
      </x:c>
      <x:c r="E7" s="141" t="str">
        <x:v>UI/UX</x:v>
      </x:c>
      <x:c r="F7" s="141" t="str">
        <x:v>P1-High</x:v>
      </x:c>
      <x:c r="G7" s="138" t="str">
        <x:v>ยังไม่ล็อกอิน admin</x:v>
      </x:c>
      <x:c r="H7" s="138" t="str">
        <x:v>เปิด /LogIn</x:v>
      </x:c>
      <x:c r="I7" s="138" t="str">
        <x:v>Desktop</x:v>
      </x:c>
      <x:c r="J7" s="138" t="str">
        <x:v>แสดงแบรนด์ ฟอร์ม และข้อความครบ ไม่ล้นทุก viewport</x:v>
      </x:c>
      <x:c r="K7" s="138" t="str">
        <x:v>-</x:v>
      </x:c>
      <x:c r="L7" s="138" t="str">
        <x:v>ทุกขนาดที่รองรับ</x:v>
      </x:c>
      <x:c r="M7" s="144" t="str">
        <x:v>หน้า Admin LogIn แสดงแบรนด์ Administrator portal และฟอร์มครบที่ 1366x768</x:v>
      </x:c>
      <x:c r="N7" s="144" t="str">
        <x:v>Not Run</x:v>
      </x:c>
      <x:c r="O7" s="144"/>
      <x:c r="P7" s="144"/>
      <x:c r="Q7" s="144" t="str">
        <x:v>Codex automated/browser smoke</x:v>
      </x:c>
      <x:c r="R7" s="147" t="n">
        <x:v>46252</x:v>
      </x:c>
      <x:c r="S7" s="144" t="str">
        <x:v>ทดสอบเพียงหนึ่ง viewport จึงคงสถานะ Not Run</x:v>
      </x:c>
    </x:row>
    <x:row r="8" ht="58" customHeight="1">
      <x:c r="A8" s="142" t="str">
        <x:v>WA-002</x:v>
      </x:c>
      <x:c r="B8" s="142" t="str">
        <x:v>REQ-WA-ADMIN-LOGIN</x:v>
      </x:c>
      <x:c r="C8" s="142" t="str">
        <x:v>Admin LogIn</x:v>
      </x:c>
      <x:c r="D8" s="142" t="str">
        <x:v>Validation</x:v>
      </x:c>
      <x:c r="E8" s="142" t="str">
        <x:v>Validation</x:v>
      </x:c>
      <x:c r="F8" s="142" t="str">
        <x:v>P0-Critical</x:v>
      </x:c>
      <x:c r="G8" s="139" t="str">
        <x:v>อยู่หน้า LogIn</x:v>
      </x:c>
      <x:c r="H8" s="139" t="str">
        <x:v>ส่งค่าว่าง/รูปแบบผิด</x:v>
      </x:c>
      <x:c r="I8" s="139" t="str">
        <x:v>Empty username/password</x:v>
      </x:c>
      <x:c r="J8" s="139" t="str">
        <x:v>แสดงข้อผิดพลาดและไม่เรียก API</x:v>
      </x:c>
      <x:c r="K8" s="139" t="str">
        <x:v>POST admin login</x:v>
      </x:c>
      <x:c r="L8" s="139" t="str">
        <x:v>ทุกขนาดที่รองรับ</x:v>
      </x:c>
      <x:c r="M8" s="145" t="str">
        <x:v>กด Log in โดยเว้น Username และ Password ระบบแสดง “Username is required” และ “Password is required” และยังอยู่หน้า LogIn</x:v>
      </x:c>
      <x:c r="N8" s="145" t="str">
        <x:v>Pass</x:v>
      </x:c>
      <x:c r="O8" s="145"/>
      <x:c r="P8" s="145"/>
      <x:c r="Q8" s="145" t="str">
        <x:v>Codex automated/browser smoke</x:v>
      </x:c>
      <x:c r="R8" s="148" t="n">
        <x:v>46252</x:v>
      </x:c>
      <x:c r="S8" s="145" t="str">
        <x:v>Production build ที่ localhost:3101; Browser 1366x768</x:v>
      </x:c>
    </x:row>
    <x:row r="9" ht="58" customHeight="1">
      <x:c r="A9" s="142" t="str">
        <x:v>WA-003</x:v>
      </x:c>
      <x:c r="B9" s="142" t="str">
        <x:v>REQ-WA-ADMIN-LOGIN</x:v>
      </x:c>
      <x:c r="C9" s="142" t="str">
        <x:v>Admin LogIn</x:v>
      </x:c>
      <x:c r="D9" s="142" t="str">
        <x:v>ล็อกอินสำเร็จ</x:v>
      </x:c>
      <x:c r="E9" s="142" t="str">
        <x:v>End-to-End</x:v>
      </x:c>
      <x:c r="F9" s="142" t="str">
        <x:v>P0-Critical</x:v>
      </x:c>
      <x:c r="G9" s="139" t="str">
        <x:v>มี admin active</x:v>
      </x:c>
      <x:c r="H9" s="139" t="str">
        <x:v>กรอกข้อมูลถูกต้องและส่ง</x:v>
      </x:c>
      <x:c r="I9" s="139" t="str">
        <x:v>ADMIN_VALID</x:v>
      </x:c>
      <x:c r="J9" s="139" t="str">
        <x:v>เข้าสู่ Main เก็บ session อย่างปลอดภัยและโหลด profile ได้</x:v>
      </x:c>
      <x:c r="K9" s="139" t="str">
        <x:v>POST admin login; GET profile</x:v>
      </x:c>
      <x:c r="L9" s="139" t="str">
        <x:v>ทุกขนาดที่รองรับ</x:v>
      </x:c>
      <x:c r="M9" s="145"/>
      <x:c r="N9" s="145" t="str">
        <x:v>Not Run</x:v>
      </x:c>
      <x:c r="O9" s="145"/>
      <x:c r="P9" s="145"/>
      <x:c r="Q9" s="145"/>
      <x:c r="R9" s="148"/>
      <x:c r="S9" s="145"/>
    </x:row>
    <x:row r="10" ht="58" customHeight="1">
      <x:c r="A10" s="142" t="str">
        <x:v>WA-004</x:v>
      </x:c>
      <x:c r="B10" s="142" t="str">
        <x:v>REQ-WA-ADMIN-LOGIN</x:v>
      </x:c>
      <x:c r="C10" s="142" t="str">
        <x:v>Admin LogIn</x:v>
      </x:c>
      <x:c r="D10" s="142" t="str">
        <x:v>สิทธิ์ไม่ถูกต้อง</x:v>
      </x:c>
      <x:c r="E10" s="142" t="str">
        <x:v>Security</x:v>
      </x:c>
      <x:c r="F10" s="142" t="str">
        <x:v>P0-Critical</x:v>
      </x:c>
      <x:c r="G10" s="139" t="str">
        <x:v>มีบัญชี user ปกติ</x:v>
      </x:c>
      <x:c r="H10" s="139" t="str">
        <x:v>ลองล็อกอินหน้า admin</x:v>
      </x:c>
      <x:c r="I10" s="139" t="str">
        <x:v>USER_VALID</x:v>
      </x:c>
      <x:c r="J10" s="139" t="str">
        <x:v>ปฏิเสธสิทธิ์โดยไม่เปิดข้อมูล admin</x:v>
      </x:c>
      <x:c r="K10" s="139" t="str">
        <x:v>-</x:v>
      </x:c>
      <x:c r="L10" s="139" t="str">
        <x:v>ทุกขนาดที่รองรับ</x:v>
      </x:c>
      <x:c r="M10" s="145"/>
      <x:c r="N10" s="145" t="str">
        <x:v>Not Run</x:v>
      </x:c>
      <x:c r="O10" s="145"/>
      <x:c r="P10" s="145"/>
      <x:c r="Q10" s="145"/>
      <x:c r="R10" s="148"/>
      <x:c r="S10" s="145"/>
    </x:row>
    <x:row r="11" ht="58" customHeight="1">
      <x:c r="A11" s="142" t="str">
        <x:v>WA-005</x:v>
      </x:c>
      <x:c r="B11" s="142" t="str">
        <x:v>REQ-WA-ADMIN-LOGIN</x:v>
      </x:c>
      <x:c r="C11" s="142" t="str">
        <x:v>Admin LogIn</x:v>
      </x:c>
      <x:c r="D11" s="142" t="str">
        <x:v>Session หมดอายุ</x:v>
      </x:c>
      <x:c r="E11" s="142" t="str">
        <x:v>Security</x:v>
      </x:c>
      <x:c r="F11" s="142" t="str">
        <x:v>P0-Critical</x:v>
      </x:c>
      <x:c r="G11" s="139" t="str">
        <x:v>token หมดอายุ</x:v>
      </x:c>
      <x:c r="H11" s="139" t="str">
        <x:v>เปิด protected route</x:v>
      </x:c>
      <x:c r="I11" s="139" t="str">
        <x:v>Expired token</x:v>
      </x:c>
      <x:c r="J11" s="139" t="str">
        <x:v>ล้าง session และกลับ LogIn ไม่มี loop</x:v>
      </x:c>
      <x:c r="K11" s="139" t="str">
        <x:v>-</x:v>
      </x:c>
      <x:c r="L11" s="139" t="str">
        <x:v>ทุกขนาดที่รองรับ</x:v>
      </x:c>
      <x:c r="M11" s="145" t="str">
        <x:v>เปิด /Main โดยไม่มี admin token ระบบส่งกลับไป /LogIn</x:v>
      </x:c>
      <x:c r="N11" s="145" t="str">
        <x:v>Not Run</x:v>
      </x:c>
      <x:c r="O11" s="145"/>
      <x:c r="P11" s="145"/>
      <x:c r="Q11" s="145" t="str">
        <x:v>Codex automated/browser smoke</x:v>
      </x:c>
      <x:c r="R11" s="148" t="n">
        <x:v>46252</x:v>
      </x:c>
      <x:c r="S11" s="145" t="str">
        <x:v>ตรวจ no-token branch; expired-token branch ยังไม่รัน</x:v>
      </x:c>
    </x:row>
    <x:row r="12" ht="58" customHeight="1">
      <x:c r="A12" s="142" t="str">
        <x:v>WA-006</x:v>
      </x:c>
      <x:c r="B12" s="142" t="str">
        <x:v>REQ-WA-ADMIN-LOGIN</x:v>
      </x:c>
      <x:c r="C12" s="142" t="str">
        <x:v>Admin LogIn</x:v>
      </x:c>
      <x:c r="D12" s="142" t="str">
        <x:v>Logout</x:v>
      </x:c>
      <x:c r="E12" s="142" t="str">
        <x:v>Security</x:v>
      </x:c>
      <x:c r="F12" s="142" t="str">
        <x:v>P0-Critical</x:v>
      </x:c>
      <x:c r="G12" s="139" t="str">
        <x:v>ล็อกอินแล้ว</x:v>
      </x:c>
      <x:c r="H12" s="139" t="str">
        <x:v>กด Logout และกด Back</x:v>
      </x:c>
      <x:c r="I12" s="139" t="str">
        <x:v>-</x:v>
      </x:c>
      <x:c r="J12" s="139" t="str">
        <x:v>ออกสำเร็จและไม่กลับไปเห็นข้อมูล cache</x:v>
      </x:c>
      <x:c r="K12" s="139" t="str">
        <x:v>POST admin logout</x:v>
      </x:c>
      <x:c r="L12" s="139" t="str">
        <x:v>ทุกขนาดที่รองรับ</x:v>
      </x:c>
      <x:c r="M12" s="145"/>
      <x:c r="N12" s="145" t="str">
        <x:v>Not Run</x:v>
      </x:c>
      <x:c r="O12" s="145"/>
      <x:c r="P12" s="145"/>
      <x:c r="Q12" s="145"/>
      <x:c r="R12" s="148"/>
      <x:c r="S12" s="145"/>
    </x:row>
    <x:row r="13" ht="58" customHeight="1">
      <x:c r="A13" s="142" t="str">
        <x:v>WA-007</x:v>
      </x:c>
      <x:c r="B13" s="142" t="str">
        <x:v>REQ-WA-ADMIN-MAIN</x:v>
      </x:c>
      <x:c r="C13" s="142" t="str">
        <x:v>Admin Main</x:v>
      </x:c>
      <x:c r="D13" s="142" t="str">
        <x:v>Dashboard โหลดครบ</x:v>
      </x:c>
      <x:c r="E13" s="142" t="str">
        <x:v>Integration</x:v>
      </x:c>
      <x:c r="F13" s="142" t="str">
        <x:v>P0-Critical</x:v>
      </x:c>
      <x:c r="G13" s="139" t="str">
        <x:v>admin ล็อกอิน</x:v>
      </x:c>
      <x:c r="H13" s="139" t="str">
        <x:v>เปิด /Main</x:v>
      </x:c>
      <x:c r="I13" s="139" t="str">
        <x:v>Dashboard seed data</x:v>
      </x:c>
      <x:c r="J13" s="139" t="str">
        <x:v>การ์ดทุกกลุ่มโหลดอิสระและตัวเลขตรง API</x:v>
      </x:c>
      <x:c r="K13" s="139" t="str">
        <x:v>GET dashboard endpoints</x:v>
      </x:c>
      <x:c r="L13" s="139" t="str">
        <x:v>ทุกขนาดที่รองรับ</x:v>
      </x:c>
      <x:c r="M13" s="145"/>
      <x:c r="N13" s="145" t="str">
        <x:v>Not Run</x:v>
      </x:c>
      <x:c r="O13" s="145"/>
      <x:c r="P13" s="145"/>
      <x:c r="Q13" s="145"/>
      <x:c r="R13" s="148"/>
      <x:c r="S13" s="145"/>
    </x:row>
    <x:row r="14" ht="58" customHeight="1">
      <x:c r="A14" s="142" t="str">
        <x:v>WA-008</x:v>
      </x:c>
      <x:c r="B14" s="142" t="str">
        <x:v>REQ-WA-ADMIN-MAIN</x:v>
      </x:c>
      <x:c r="C14" s="142" t="str">
        <x:v>Admin Main</x:v>
      </x:c>
      <x:c r="D14" s="142" t="str">
        <x:v>เวลาเรียนรวม</x:v>
      </x:c>
      <x:c r="E14" s="142" t="str">
        <x:v>Calculation</x:v>
      </x:c>
      <x:c r="F14" s="142" t="str">
        <x:v>P1-High</x:v>
      </x:c>
      <x:c r="G14" s="139" t="str">
        <x:v>มี study sessions</x:v>
      </x:c>
      <x:c r="H14" s="139" t="str">
        <x:v>เทียบ overview กับข้อมูลต้นทาง</x:v>
      </x:c>
      <x:c r="I14" s="139" t="str">
        <x:v>Sessions หลายวัน</x:v>
      </x:c>
      <x:c r="J14" s="139" t="str">
        <x:v>ยอดรวม ค่าเฉลี่ย และหน่วยเวลาถูกต้อง</x:v>
      </x:c>
      <x:c r="K14" s="139" t="str">
        <x:v>GET study-time overview</x:v>
      </x:c>
      <x:c r="L14" s="139" t="str">
        <x:v>ทุกขนาดที่รองรับ</x:v>
      </x:c>
      <x:c r="M14" s="145"/>
      <x:c r="N14" s="145" t="str">
        <x:v>Not Run</x:v>
      </x:c>
      <x:c r="O14" s="145"/>
      <x:c r="P14" s="145"/>
      <x:c r="Q14" s="145"/>
      <x:c r="R14" s="148"/>
      <x:c r="S14" s="145"/>
    </x:row>
    <x:row r="15" ht="58" customHeight="1">
      <x:c r="A15" s="142" t="str">
        <x:v>WA-009</x:v>
      </x:c>
      <x:c r="B15" s="142" t="str">
        <x:v>REQ-WA-ADMIN-MAIN</x:v>
      </x:c>
      <x:c r="C15" s="142" t="str">
        <x:v>Admin Main</x:v>
      </x:c>
      <x:c r="D15" s="142" t="str">
        <x:v>ข้อจำกัดยอดนิยม</x:v>
      </x:c>
      <x:c r="E15" s="142" t="str">
        <x:v>Calculation</x:v>
      </x:c>
      <x:c r="F15" s="142" t="str">
        <x:v>P1-High</x:v>
      </x:c>
      <x:c r="G15" s="139" t="str">
        <x:v>มี constraints หลายประเภท</x:v>
      </x:c>
      <x:c r="H15" s="139" t="str">
        <x:v>ตรวจลำดับและเปอร์เซ็นต์</x:v>
      </x:c>
      <x:c r="I15" s="139" t="str">
        <x:v>Constraint distribution</x:v>
      </x:c>
      <x:c r="J15" s="139" t="str">
        <x:v>เรียง/เปอร์เซ็นต์ถูกต้องและรวมสมเหตุผล</x:v>
      </x:c>
      <x:c r="K15" s="139" t="str">
        <x:v>GET popular constraints</x:v>
      </x:c>
      <x:c r="L15" s="139" t="str">
        <x:v>ทุกขนาดที่รองรับ</x:v>
      </x:c>
      <x:c r="M15" s="145"/>
      <x:c r="N15" s="145" t="str">
        <x:v>Not Run</x:v>
      </x:c>
      <x:c r="O15" s="145"/>
      <x:c r="P15" s="145"/>
      <x:c r="Q15" s="145"/>
      <x:c r="R15" s="148"/>
      <x:c r="S15" s="145"/>
    </x:row>
    <x:row r="16" ht="58" customHeight="1">
      <x:c r="A16" s="142" t="str">
        <x:v>WA-010</x:v>
      </x:c>
      <x:c r="B16" s="142" t="str">
        <x:v>REQ-WA-ADMIN-MAIN</x:v>
      </x:c>
      <x:c r="C16" s="142" t="str">
        <x:v>Admin Main</x:v>
      </x:c>
      <x:c r="D16" s="142" t="str">
        <x:v>คะแนนและ Part ranking</x:v>
      </x:c>
      <x:c r="E16" s="142" t="str">
        <x:v>Calculation</x:v>
      </x:c>
      <x:c r="F16" s="142" t="str">
        <x:v>P1-High</x:v>
      </x:c>
      <x:c r="G16" s="139" t="str">
        <x:v>มีประวัติข้อสอบ</x:v>
      </x:c>
      <x:c r="H16" s="139" t="str">
        <x:v>ตรวจ score summaries และ part rankings</x:v>
      </x:c>
      <x:c r="I16" s="139" t="str">
        <x:v>Exam histories</x:v>
      </x:c>
      <x:c r="J16" s="139" t="str">
        <x:v>ใช้ raw/max/percentage ถูกต้องและอันดับตรง Backend</x:v>
      </x:c>
      <x:c r="K16" s="139" t="str">
        <x:v>GET exam scores/part rankings</x:v>
      </x:c>
      <x:c r="L16" s="139" t="str">
        <x:v>ทุกขนาดที่รองรับ</x:v>
      </x:c>
      <x:c r="M16" s="145"/>
      <x:c r="N16" s="145" t="str">
        <x:v>Not Run</x:v>
      </x:c>
      <x:c r="O16" s="145"/>
      <x:c r="P16" s="145"/>
      <x:c r="Q16" s="145"/>
      <x:c r="R16" s="148"/>
      <x:c r="S16" s="145"/>
    </x:row>
    <x:row r="17" ht="58" customHeight="1">
      <x:c r="A17" s="142" t="str">
        <x:v>WA-011</x:v>
      </x:c>
      <x:c r="B17" s="142" t="str">
        <x:v>REQ-WA-ADMIN-MAIN</x:v>
      </x:c>
      <x:c r="C17" s="142" t="str">
        <x:v>Admin Main</x:v>
      </x:c>
      <x:c r="D17" s="142" t="str">
        <x:v>ผู้ใช้ตามชั้นปี</x:v>
      </x:c>
      <x:c r="E17" s="142" t="str">
        <x:v>Calculation</x:v>
      </x:c>
      <x:c r="F17" s="142" t="str">
        <x:v>P2-Medium</x:v>
      </x:c>
      <x:c r="G17" s="139" t="str">
        <x:v>มี users หลายปี</x:v>
      </x:c>
      <x:c r="H17" s="139" t="str">
        <x:v>ตรวจกราฟ/การ์ด</x:v>
      </x:c>
      <x:c r="I17" s="139" t="str">
        <x:v>Year distribution</x:v>
      </x:c>
      <x:c r="J17" s="139" t="str">
        <x:v>จำนวนรวมตรงรายชื่อผู้ใช้และ label ถูกต้อง</x:v>
      </x:c>
      <x:c r="K17" s="139" t="str">
        <x:v>GET user year distribution</x:v>
      </x:c>
      <x:c r="L17" s="139" t="str">
        <x:v>ทุกขนาดที่รองรับ</x:v>
      </x:c>
      <x:c r="M17" s="145"/>
      <x:c r="N17" s="145" t="str">
        <x:v>Not Run</x:v>
      </x:c>
      <x:c r="O17" s="145"/>
      <x:c r="P17" s="145"/>
      <x:c r="Q17" s="145"/>
      <x:c r="R17" s="148"/>
      <x:c r="S17" s="145"/>
    </x:row>
    <x:row r="18" ht="58" customHeight="1">
      <x:c r="A18" s="142" t="str">
        <x:v>WA-012</x:v>
      </x:c>
      <x:c r="B18" s="142" t="str">
        <x:v>REQ-WA-ADMIN-MAIN</x:v>
      </x:c>
      <x:c r="C18" s="142" t="str">
        <x:v>Admin Main</x:v>
      </x:c>
      <x:c r="D18" s="142" t="str">
        <x:v>งานที่เสร็จ</x:v>
      </x:c>
      <x:c r="E18" s="142" t="str">
        <x:v>Calculation</x:v>
      </x:c>
      <x:c r="F18" s="142" t="str">
        <x:v>P1-High</x:v>
      </x:c>
      <x:c r="G18" s="139" t="str">
        <x:v>มี workloads pending/completed</x:v>
      </x:c>
      <x:c r="H18" s="139" t="str">
        <x:v>ตรวจ completion metric</x:v>
      </x:c>
      <x:c r="I18" s="139" t="str">
        <x:v>Mixed workloads</x:v>
      </x:c>
      <x:c r="J18" s="139" t="str">
        <x:v>อัตราส่งงานถูกต้องและไม่หารศูนย์</x:v>
      </x:c>
      <x:c r="K18" s="139" t="str">
        <x:v>GET workload completion</x:v>
      </x:c>
      <x:c r="L18" s="139" t="str">
        <x:v>ทุกขนาดที่รองรับ</x:v>
      </x:c>
      <x:c r="M18" s="145"/>
      <x:c r="N18" s="145" t="str">
        <x:v>Not Run</x:v>
      </x:c>
      <x:c r="O18" s="145"/>
      <x:c r="P18" s="145"/>
      <x:c r="Q18" s="145"/>
      <x:c r="R18" s="148"/>
      <x:c r="S18" s="145"/>
    </x:row>
    <x:row r="19" ht="58" customHeight="1">
      <x:c r="A19" s="142" t="str">
        <x:v>WA-013</x:v>
      </x:c>
      <x:c r="B19" s="142" t="str">
        <x:v>REQ-WA-ADMIN-MAIN</x:v>
      </x:c>
      <x:c r="C19" s="142" t="str">
        <x:v>Admin Main</x:v>
      </x:c>
      <x:c r="D19" s="142" t="str">
        <x:v>วิธีทบทวน</x:v>
      </x:c>
      <x:c r="E19" s="142" t="str">
        <x:v>Integration</x:v>
      </x:c>
      <x:c r="F19" s="142" t="str">
        <x:v>P2-Medium</x:v>
      </x:c>
      <x:c r="G19" s="139" t="str">
        <x:v>มี study types</x:v>
      </x:c>
      <x:c r="H19" s="139" t="str">
        <x:v>ตรวจการ์ด review methods</x:v>
      </x:c>
      <x:c r="I19" s="139" t="str">
        <x:v>study_types</x:v>
      </x:c>
      <x:c r="J19" s="139" t="str">
        <x:v>ชื่อ/จำนวนตรงข้อมูลและไม่แสดงรายการ inactive ผิดเงื่อนไข</x:v>
      </x:c>
      <x:c r="K19" s="139" t="str">
        <x:v>GET review methods</x:v>
      </x:c>
      <x:c r="L19" s="139" t="str">
        <x:v>ทุกขนาดที่รองรับ</x:v>
      </x:c>
      <x:c r="M19" s="145"/>
      <x:c r="N19" s="145" t="str">
        <x:v>Not Run</x:v>
      </x:c>
      <x:c r="O19" s="145"/>
      <x:c r="P19" s="145"/>
      <x:c r="Q19" s="145"/>
      <x:c r="R19" s="148"/>
      <x:c r="S19" s="145"/>
    </x:row>
    <x:row r="20" ht="58" customHeight="1">
      <x:c r="A20" s="142" t="str">
        <x:v>WA-014</x:v>
      </x:c>
      <x:c r="B20" s="142" t="str">
        <x:v>REQ-WA-ADMIN-MAIN</x:v>
      </x:c>
      <x:c r="C20" s="142" t="str">
        <x:v>Admin Main</x:v>
      </x:c>
      <x:c r="D20" s="142" t="str">
        <x:v>Partial failure</x:v>
      </x:c>
      <x:c r="E20" s="142" t="str">
        <x:v>Recovery</x:v>
      </x:c>
      <x:c r="F20" s="142" t="str">
        <x:v>P1-High</x:v>
      </x:c>
      <x:c r="G20" s="139" t="str">
        <x:v>ทำให้ API หนึ่งการ์ดล้มเหลว</x:v>
      </x:c>
      <x:c r="H20" s="139" t="str">
        <x:v>เปิด Dashboard และ Retry</x:v>
      </x:c>
      <x:c r="I20" s="139" t="str">
        <x:v>One endpoint HTTP 500</x:v>
      </x:c>
      <x:c r="J20" s="139" t="str">
        <x:v>การ์ดอื่นยังแสดงได้ การ์ดที่ผิดมีสถานะ retry ไม่ทำให้ทั้งหน้าพัง</x:v>
      </x:c>
      <x:c r="K20" s="139" t="str">
        <x:v>-</x:v>
      </x:c>
      <x:c r="L20" s="139" t="str">
        <x:v>ทุกขนาดที่รองรับ</x:v>
      </x:c>
      <x:c r="M20" s="145"/>
      <x:c r="N20" s="145" t="str">
        <x:v>Not Run</x:v>
      </x:c>
      <x:c r="O20" s="145"/>
      <x:c r="P20" s="145"/>
      <x:c r="Q20" s="145"/>
      <x:c r="R20" s="148"/>
      <x:c r="S20" s="145"/>
    </x:row>
    <x:row r="21" ht="58" customHeight="1">
      <x:c r="A21" s="142" t="str">
        <x:v>WA-015</x:v>
      </x:c>
      <x:c r="B21" s="142" t="str">
        <x:v>REQ-WA-ADMIN-MAIN</x:v>
      </x:c>
      <x:c r="C21" s="142" t="str">
        <x:v>Admin Main</x:v>
      </x:c>
      <x:c r="D21" s="142" t="str">
        <x:v>Navigation/Responsive</x:v>
      </x:c>
      <x:c r="E21" s="142" t="str">
        <x:v>Compatibility</x:v>
      </x:c>
      <x:c r="F21" s="142" t="str">
        <x:v>P2-Medium</x:v>
      </x:c>
      <x:c r="G21" s="139" t="str">
        <x:v>admin ล็อกอิน</x:v>
      </x:c>
      <x:c r="H21" s="139" t="str">
        <x:v>เปลี่ยนเมนูและทดสอบ 1280/1920</x:v>
      </x:c>
      <x:c r="I21" s="139" t="str">
        <x:v>Desktop sizes</x:v>
      </x:c>
      <x:c r="J21" s="139" t="str">
        <x:v>เมนู active ถูก ไม่มี layout shift และตาราง/กราฟไม่ถูกตัด</x:v>
      </x:c>
      <x:c r="K21" s="139" t="str">
        <x:v>-</x:v>
      </x:c>
      <x:c r="L21" s="139" t="str">
        <x:v>ทุกขนาดที่รองรับ</x:v>
      </x:c>
      <x:c r="M21" s="145"/>
      <x:c r="N21" s="145" t="str">
        <x:v>Not Run</x:v>
      </x:c>
      <x:c r="O21" s="145"/>
      <x:c r="P21" s="145"/>
      <x:c r="Q21" s="145"/>
      <x:c r="R21" s="148"/>
      <x:c r="S21" s="145"/>
    </x:row>
    <x:row r="22" ht="58" customHeight="1">
      <x:c r="A22" s="142" t="str">
        <x:v>WA-016</x:v>
      </x:c>
      <x:c r="B22" s="142" t="str">
        <x:v>REQ-WA-MANAGE-USERS</x:v>
      </x:c>
      <x:c r="C22" s="142" t="str">
        <x:v>Manage Users</x:v>
      </x:c>
      <x:c r="D22" s="142" t="str">
        <x:v>โหลดและสรุปผู้ใช้</x:v>
      </x:c>
      <x:c r="E22" s="142" t="str">
        <x:v>Integration</x:v>
      </x:c>
      <x:c r="F22" s="142" t="str">
        <x:v>P0-Critical</x:v>
      </x:c>
      <x:c r="G22" s="139" t="str">
        <x:v>มี users</x:v>
      </x:c>
      <x:c r="H22" s="139" t="str">
        <x:v>เปิด /ManageUsers</x:v>
      </x:c>
      <x:c r="I22" s="139" t="str">
        <x:v>Mixed user statuses</x:v>
      </x:c>
      <x:c r="J22" s="139" t="str">
        <x:v>ตารางและ summary cards จำนวนตรง API</x:v>
      </x:c>
      <x:c r="K22" s="139" t="str">
        <x:v>GET managed users</x:v>
      </x:c>
      <x:c r="L22" s="139" t="str">
        <x:v>ทุกขนาดที่รองรับ</x:v>
      </x:c>
      <x:c r="M22" s="145"/>
      <x:c r="N22" s="145" t="str">
        <x:v>Not Run</x:v>
      </x:c>
      <x:c r="O22" s="145"/>
      <x:c r="P22" s="145"/>
      <x:c r="Q22" s="145"/>
      <x:c r="R22" s="148"/>
      <x:c r="S22" s="145"/>
    </x:row>
    <x:row r="23" ht="58" customHeight="1">
      <x:c r="A23" s="142" t="str">
        <x:v>WA-017</x:v>
      </x:c>
      <x:c r="B23" s="142" t="str">
        <x:v>REQ-WA-MANAGE-USERS</x:v>
      </x:c>
      <x:c r="C23" s="142" t="str">
        <x:v>Manage Users</x:v>
      </x:c>
      <x:c r="D23" s="142" t="str">
        <x:v>ค้นหา/กรอง</x:v>
      </x:c>
      <x:c r="E23" s="142" t="str">
        <x:v>Functional</x:v>
      </x:c>
      <x:c r="F23" s="142" t="str">
        <x:v>P1-High</x:v>
      </x:c>
      <x:c r="G23" s="139" t="str">
        <x:v>มีข้อมูลหลายรายการ</x:v>
      </x:c>
      <x:c r="H23" s="139" t="str">
        <x:v>ค้นหาชื่อ/username และกรองสถานะ</x:v>
      </x:c>
      <x:c r="I23" s="139" t="str">
        <x:v>nini, active/inactive</x:v>
      </x:c>
      <x:c r="J23" s="139" t="str">
        <x:v>ผลลัพธ์ตรงเงื่อนไข ไม่ค้างค่าจาก filter ก่อนหน้า</x:v>
      </x:c>
      <x:c r="K23" s="139" t="str">
        <x:v>-</x:v>
      </x:c>
      <x:c r="L23" s="139" t="str">
        <x:v>ทุกขนาดที่รองรับ</x:v>
      </x:c>
      <x:c r="M23" s="145"/>
      <x:c r="N23" s="145" t="str">
        <x:v>Not Run</x:v>
      </x:c>
      <x:c r="O23" s="145"/>
      <x:c r="P23" s="145"/>
      <x:c r="Q23" s="145"/>
      <x:c r="R23" s="148"/>
      <x:c r="S23" s="145"/>
    </x:row>
    <x:row r="24" ht="58" customHeight="1">
      <x:c r="A24" s="142" t="str">
        <x:v>WA-018</x:v>
      </x:c>
      <x:c r="B24" s="142" t="str">
        <x:v>REQ-WA-MANAGE-USERS</x:v>
      </x:c>
      <x:c r="C24" s="142" t="str">
        <x:v>Manage Users</x:v>
      </x:c>
      <x:c r="D24" s="142" t="str">
        <x:v>เรียงและข้อมูลว่าง</x:v>
      </x:c>
      <x:c r="E24" s="142" t="str">
        <x:v>Functional</x:v>
      </x:c>
      <x:c r="F24" s="142" t="str">
        <x:v>P2-Medium</x:v>
      </x:c>
      <x:c r="G24" s="139" t="str">
        <x:v>มี/ไม่มีข้อมูล</x:v>
      </x:c>
      <x:c r="H24" s="139" t="str">
        <x:v>เรียงคอลัมน์และใช้ filter ที่ไม่พบ</x:v>
      </x:c>
      <x:c r="I24" s="139" t="str">
        <x:v>No match</x:v>
      </x:c>
      <x:c r="J24" s="139" t="str">
        <x:v>ลำดับถูกและ empty state ชัดเจน</x:v>
      </x:c>
      <x:c r="K24" s="139" t="str">
        <x:v>-</x:v>
      </x:c>
      <x:c r="L24" s="139" t="str">
        <x:v>ทุกขนาดที่รองรับ</x:v>
      </x:c>
      <x:c r="M24" s="145"/>
      <x:c r="N24" s="145" t="str">
        <x:v>Not Run</x:v>
      </x:c>
      <x:c r="O24" s="145"/>
      <x:c r="P24" s="145"/>
      <x:c r="Q24" s="145"/>
      <x:c r="R24" s="148"/>
      <x:c r="S24" s="145"/>
    </x:row>
    <x:row r="25" ht="58" customHeight="1">
      <x:c r="A25" s="142" t="str">
        <x:v>WA-019</x:v>
      </x:c>
      <x:c r="B25" s="142" t="str">
        <x:v>REQ-WA-MANAGE-USERS</x:v>
      </x:c>
      <x:c r="C25" s="142" t="str">
        <x:v>Manage Users</x:v>
      </x:c>
      <x:c r="D25" s="142" t="str">
        <x:v>เปิดแก้ไข</x:v>
      </x:c>
      <x:c r="E25" s="142" t="str">
        <x:v>UI/UX</x:v>
      </x:c>
      <x:c r="F25" s="142" t="str">
        <x:v>P1-High</x:v>
      </x:c>
      <x:c r="G25" s="139" t="str">
        <x:v>มี user</x:v>
      </x:c>
      <x:c r="H25" s="139" t="str">
        <x:v>กด Edit</x:v>
      </x:c>
      <x:c r="I25" s="139" t="str">
        <x:v>USER_EXISTING</x:v>
      </x:c>
      <x:c r="J25" s="139" t="str">
        <x:v>modal แสดงข้อมูลล่าสุด ไม่แสดงข้อมูลอ่อนไหวเกินจำเป็น</x:v>
      </x:c>
      <x:c r="K25" s="139" t="str">
        <x:v>-</x:v>
      </x:c>
      <x:c r="L25" s="139" t="str">
        <x:v>ทุกขนาดที่รองรับ</x:v>
      </x:c>
      <x:c r="M25" s="145"/>
      <x:c r="N25" s="145" t="str">
        <x:v>Not Run</x:v>
      </x:c>
      <x:c r="O25" s="145"/>
      <x:c r="P25" s="145"/>
      <x:c r="Q25" s="145"/>
      <x:c r="R25" s="148"/>
      <x:c r="S25" s="145"/>
    </x:row>
    <x:row r="26" ht="58" customHeight="1">
      <x:c r="A26" s="142" t="str">
        <x:v>WA-020</x:v>
      </x:c>
      <x:c r="B26" s="142" t="str">
        <x:v>REQ-WA-MANAGE-USERS</x:v>
      </x:c>
      <x:c r="C26" s="142" t="str">
        <x:v>Manage Users</x:v>
      </x:c>
      <x:c r="D26" s="142" t="str">
        <x:v>แก้ไขสำเร็จ</x:v>
      </x:c>
      <x:c r="E26" s="142" t="str">
        <x:v>End-to-End</x:v>
      </x:c>
      <x:c r="F26" s="142" t="str">
        <x:v>P0-Critical</x:v>
      </x:c>
      <x:c r="G26" s="139" t="str">
        <x:v>เปิด Edit modal</x:v>
      </x:c>
      <x:c r="H26" s="139" t="str">
        <x:v>แก้ข้อมูลที่อนุญาตแล้ว Save</x:v>
      </x:c>
      <x:c r="I26" s="139" t="str">
        <x:v>Name/major/status</x:v>
      </x:c>
      <x:c r="J26" s="139" t="str">
        <x:v>Backend และแถวตารางอัปเดตโดยไม่ซ้ำ</x:v>
      </x:c>
      <x:c r="K26" s="139" t="str">
        <x:v>PUT managed user</x:v>
      </x:c>
      <x:c r="L26" s="139" t="str">
        <x:v>ทุกขนาดที่รองรับ</x:v>
      </x:c>
      <x:c r="M26" s="145"/>
      <x:c r="N26" s="145" t="str">
        <x:v>Not Run</x:v>
      </x:c>
      <x:c r="O26" s="145"/>
      <x:c r="P26" s="145"/>
      <x:c r="Q26" s="145"/>
      <x:c r="R26" s="148"/>
      <x:c r="S26" s="145"/>
    </x:row>
    <x:row r="27" ht="58" customHeight="1">
      <x:c r="A27" s="142" t="str">
        <x:v>WA-021</x:v>
      </x:c>
      <x:c r="B27" s="142" t="str">
        <x:v>REQ-WA-MANAGE-USERS</x:v>
      </x:c>
      <x:c r="C27" s="142" t="str">
        <x:v>Manage Users</x:v>
      </x:c>
      <x:c r="D27" s="142" t="str">
        <x:v>Validation/Concurrent edit</x:v>
      </x:c>
      <x:c r="E27" s="142" t="str">
        <x:v>Validation</x:v>
      </x:c>
      <x:c r="F27" s="142" t="str">
        <x:v>P0-Critical</x:v>
      </x:c>
      <x:c r="G27" s="139" t="str">
        <x:v>เปิด user เดียวกันสองแท็บ</x:v>
      </x:c>
      <x:c r="H27" s="139" t="str">
        <x:v>กรอกค่าไม่ถูกและบันทึกชนกัน</x:v>
      </x:c>
      <x:c r="I27" s="139" t="str">
        <x:v>Invalid DOB/stale data</x:v>
      </x:c>
      <x:c r="J27" s="139" t="str">
        <x:v>ปฏิเสธข้อมูลผิดและแจ้งเมื่อข้อมูลเปลี่ยนจากที่อื่น</x:v>
      </x:c>
      <x:c r="K27" s="139" t="str">
        <x:v>-</x:v>
      </x:c>
      <x:c r="L27" s="139" t="str">
        <x:v>ทุกขนาดที่รองรับ</x:v>
      </x:c>
      <x:c r="M27" s="145"/>
      <x:c r="N27" s="145" t="str">
        <x:v>Not Run</x:v>
      </x:c>
      <x:c r="O27" s="145"/>
      <x:c r="P27" s="145"/>
      <x:c r="Q27" s="145"/>
      <x:c r="R27" s="148"/>
      <x:c r="S27" s="145"/>
    </x:row>
    <x:row r="28" ht="58" customHeight="1">
      <x:c r="A28" s="142" t="str">
        <x:v>WA-022</x:v>
      </x:c>
      <x:c r="B28" s="142" t="str">
        <x:v>REQ-WA-MANAGE-USERS</x:v>
      </x:c>
      <x:c r="C28" s="142" t="str">
        <x:v>Manage Users</x:v>
      </x:c>
      <x:c r="D28" s="142" t="str">
        <x:v>ลบผู้ใช้</x:v>
      </x:c>
      <x:c r="E28" s="142" t="str">
        <x:v>End-to-End</x:v>
      </x:c>
      <x:c r="F28" s="142" t="str">
        <x:v>P0-Critical</x:v>
      </x:c>
      <x:c r="G28" s="139" t="str">
        <x:v>มี user ที่ลบได้</x:v>
      </x:c>
      <x:c r="H28" s="139" t="str">
        <x:v>กด Delete ตรวจข้อความ ยกเลิก 1 ครั้ง แล้วลบจริง</x:v>
      </x:c>
      <x:c r="I28" s="139" t="str">
        <x:v>USER_DELETE</x:v>
      </x:c>
      <x:c r="J28" s="139" t="str">
        <x:v>Cancel ไม่เปลี่ยนข้อมูล; Confirm ลบและ summary อัปเดต</x:v>
      </x:c>
      <x:c r="K28" s="139" t="str">
        <x:v>DELETE managed user</x:v>
      </x:c>
      <x:c r="L28" s="139" t="str">
        <x:v>ทุกขนาดที่รองรับ</x:v>
      </x:c>
      <x:c r="M28" s="145"/>
      <x:c r="N28" s="145" t="str">
        <x:v>Not Run</x:v>
      </x:c>
      <x:c r="O28" s="145"/>
      <x:c r="P28" s="145"/>
      <x:c r="Q28" s="145"/>
      <x:c r="R28" s="148"/>
      <x:c r="S28" s="145"/>
    </x:row>
    <x:row r="29" ht="58" customHeight="1">
      <x:c r="A29" s="142" t="str">
        <x:v>WA-023</x:v>
      </x:c>
      <x:c r="B29" s="142" t="str">
        <x:v>REQ-WA-MANAGE-USERS</x:v>
      </x:c>
      <x:c r="C29" s="142" t="str">
        <x:v>Manage Users</x:v>
      </x:c>
      <x:c r="D29" s="142" t="str">
        <x:v>ป้องกันลบตัวเอง/สิทธิ์</x:v>
      </x:c>
      <x:c r="E29" s="142" t="str">
        <x:v>Security</x:v>
      </x:c>
      <x:c r="F29" s="142" t="str">
        <x:v>P0-Critical</x:v>
      </x:c>
      <x:c r="G29" s="139" t="str">
        <x:v>admin เปิดรายการ</x:v>
      </x:c>
      <x:c r="H29" s="139" t="str">
        <x:v>พยายามลบบัญชีตนเองหรือเรียก API โดยไม่มีสิทธิ์</x:v>
      </x:c>
      <x:c r="I29" s="139" t="str">
        <x:v>Current admin/unauthorized</x:v>
      </x:c>
      <x:c r="J29" s="139" t="str">
        <x:v>ป้องกันตามนโยบายและไม่เปิดช่อง privilege escalation</x:v>
      </x:c>
      <x:c r="K29" s="139" t="str">
        <x:v>-</x:v>
      </x:c>
      <x:c r="L29" s="139" t="str">
        <x:v>ทุกขนาดที่รองรับ</x:v>
      </x:c>
      <x:c r="M29" s="145"/>
      <x:c r="N29" s="145" t="str">
        <x:v>Not Run</x:v>
      </x:c>
      <x:c r="O29" s="145"/>
      <x:c r="P29" s="145"/>
      <x:c r="Q29" s="145"/>
      <x:c r="R29" s="148"/>
      <x:c r="S29" s="145"/>
    </x:row>
    <x:row r="30" ht="58" customHeight="1">
      <x:c r="A30" s="142" t="str">
        <x:v>WA-024</x:v>
      </x:c>
      <x:c r="B30" s="142" t="str">
        <x:v>REQ-WA-MANAGE-USERS</x:v>
      </x:c>
      <x:c r="C30" s="142" t="str">
        <x:v>Manage Users</x:v>
      </x:c>
      <x:c r="D30" s="142" t="str">
        <x:v>Pagination/ข้อมูลจำนวนมาก</x:v>
      </x:c>
      <x:c r="E30" s="142" t="str">
        <x:v>Performance</x:v>
      </x:c>
      <x:c r="F30" s="142" t="str">
        <x:v>P2-Medium</x:v>
      </x:c>
      <x:c r="G30" s="139" t="str">
        <x:v>มี users จำนวนมาก</x:v>
      </x:c>
      <x:c r="H30" s="139" t="str">
        <x:v>เลื่อน/เปลี่ยนหน้า/ค้นหา</x:v>
      </x:c>
      <x:c r="I30" s="139" t="str">
        <x:v>1,000+ users</x:v>
      </x:c>
      <x:c r="J30" s="139" t="str">
        <x:v>ตอบสนองได้ ไม่ render ค้าง และจำนวนหน้าถูกต้อง</x:v>
      </x:c>
      <x:c r="K30" s="139" t="str">
        <x:v>-</x:v>
      </x:c>
      <x:c r="L30" s="139" t="str">
        <x:v>ทุกขนาดที่รองรับ</x:v>
      </x:c>
      <x:c r="M30" s="145"/>
      <x:c r="N30" s="145" t="str">
        <x:v>Not Run</x:v>
      </x:c>
      <x:c r="O30" s="145"/>
      <x:c r="P30" s="145"/>
      <x:c r="Q30" s="145"/>
      <x:c r="R30" s="148"/>
      <x:c r="S30" s="145"/>
    </x:row>
    <x:row r="31" ht="58" customHeight="1">
      <x:c r="A31" s="142" t="str">
        <x:v>WA-025</x:v>
      </x:c>
      <x:c r="B31" s="142" t="str">
        <x:v>REQ-WA-SUBJECT-TYPE</x:v>
      </x:c>
      <x:c r="C31" s="142" t="str">
        <x:v>Subject Type</x:v>
      </x:c>
      <x:c r="D31" s="142" t="str">
        <x:v>โหลดรายการและ Summary</x:v>
      </x:c>
      <x:c r="E31" s="142" t="str">
        <x:v>Integration</x:v>
      </x:c>
      <x:c r="F31" s="142" t="str">
        <x:v>P0-Critical</x:v>
      </x:c>
      <x:c r="G31" s="139" t="str">
        <x:v>admin ล็อกอิน</x:v>
      </x:c>
      <x:c r="H31" s="139" t="str">
        <x:v>เปิด /SubjectType</x:v>
      </x:c>
      <x:c r="I31" s="139" t="str">
        <x:v>Subject types seed</x:v>
      </x:c>
      <x:c r="J31" s="139" t="str">
        <x:v>การ์ด/กริดจำนวนตรง API</x:v>
      </x:c>
      <x:c r="K31" s="139" t="str">
        <x:v>GET subject types</x:v>
      </x:c>
      <x:c r="L31" s="139" t="str">
        <x:v>ทุกขนาดที่รองรับ</x:v>
      </x:c>
      <x:c r="M31" s="145"/>
      <x:c r="N31" s="145" t="str">
        <x:v>Not Run</x:v>
      </x:c>
      <x:c r="O31" s="145"/>
      <x:c r="P31" s="145"/>
      <x:c r="Q31" s="145"/>
      <x:c r="R31" s="148"/>
      <x:c r="S31" s="145"/>
    </x:row>
    <x:row r="32" ht="58" customHeight="1">
      <x:c r="A32" s="142" t="str">
        <x:v>WA-026</x:v>
      </x:c>
      <x:c r="B32" s="142" t="str">
        <x:v>REQ-WA-SUBJECT-TYPE</x:v>
      </x:c>
      <x:c r="C32" s="142" t="str">
        <x:v>Subject Type</x:v>
      </x:c>
      <x:c r="D32" s="142" t="str">
        <x:v>ค้นหา/กรอง</x:v>
      </x:c>
      <x:c r="E32" s="142" t="str">
        <x:v>Functional</x:v>
      </x:c>
      <x:c r="F32" s="142" t="str">
        <x:v>P2-Medium</x:v>
      </x:c>
      <x:c r="G32" s="139" t="str">
        <x:v>มีหลายประเภท</x:v>
      </x:c>
      <x:c r="H32" s="139" t="str">
        <x:v>ค้นหาชื่อและสถานะ</x:v>
      </x:c>
      <x:c r="I32" s="139" t="str">
        <x:v>Core/Elective</x:v>
      </x:c>
      <x:c r="J32" s="139" t="str">
        <x:v>ผลลัพธ์ถูกและ reset filter ได้</x:v>
      </x:c>
      <x:c r="K32" s="139" t="str">
        <x:v>-</x:v>
      </x:c>
      <x:c r="L32" s="139" t="str">
        <x:v>ทุกขนาดที่รองรับ</x:v>
      </x:c>
      <x:c r="M32" s="145"/>
      <x:c r="N32" s="145" t="str">
        <x:v>Not Run</x:v>
      </x:c>
      <x:c r="O32" s="145"/>
      <x:c r="P32" s="145"/>
      <x:c r="Q32" s="145"/>
      <x:c r="R32" s="148"/>
      <x:c r="S32" s="145"/>
    </x:row>
    <x:row r="33" ht="58" customHeight="1">
      <x:c r="A33" s="142" t="str">
        <x:v>WA-027</x:v>
      </x:c>
      <x:c r="B33" s="142" t="str">
        <x:v>REQ-WA-SUBJECT-TYPE</x:v>
      </x:c>
      <x:c r="C33" s="142" t="str">
        <x:v>Subject Type</x:v>
      </x:c>
      <x:c r="D33" s="142" t="str">
        <x:v>สร้างประเภท</x:v>
      </x:c>
      <x:c r="E33" s="142" t="str">
        <x:v>End-to-End</x:v>
      </x:c>
      <x:c r="F33" s="142" t="str">
        <x:v>P0-Critical</x:v>
      </x:c>
      <x:c r="G33" s="139" t="str">
        <x:v>ชื่อยังไม่ซ้ำ</x:v>
      </x:c>
      <x:c r="H33" s="139" t="str">
        <x:v>กด Add กรอกข้อมูลและ Save</x:v>
      </x:c>
      <x:c r="I33" s="139" t="str">
        <x:v>TYPE_NEW</x:v>
      </x:c>
      <x:c r="J33" s="139" t="str">
        <x:v>สร้างครั้งเดียวและแสดงในกริด/Dropdown ที่เกี่ยวข้อง</x:v>
      </x:c>
      <x:c r="K33" s="139" t="str">
        <x:v>POST subject type</x:v>
      </x:c>
      <x:c r="L33" s="139" t="str">
        <x:v>ทุกขนาดที่รองรับ</x:v>
      </x:c>
      <x:c r="M33" s="145"/>
      <x:c r="N33" s="145" t="str">
        <x:v>Not Run</x:v>
      </x:c>
      <x:c r="O33" s="145"/>
      <x:c r="P33" s="145"/>
      <x:c r="Q33" s="145"/>
      <x:c r="R33" s="148"/>
      <x:c r="S33" s="145"/>
    </x:row>
    <x:row r="34" ht="58" customHeight="1">
      <x:c r="A34" s="142" t="str">
        <x:v>WA-028</x:v>
      </x:c>
      <x:c r="B34" s="142" t="str">
        <x:v>REQ-WA-SUBJECT-TYPE</x:v>
      </x:c>
      <x:c r="C34" s="142" t="str">
        <x:v>Subject Type</x:v>
      </x:c>
      <x:c r="D34" s="142" t="str">
        <x:v>ชื่อซ้ำ/ค่าว่าง</x:v>
      </x:c>
      <x:c r="E34" s="142" t="str">
        <x:v>Validation</x:v>
      </x:c>
      <x:c r="F34" s="142" t="str">
        <x:v>P0-Critical</x:v>
      </x:c>
      <x:c r="G34" s="139" t="str">
        <x:v>มีประเภทเดิม</x:v>
      </x:c>
      <x:c r="H34" s="139" t="str">
        <x:v>สร้างชื่อว่าง/ซ้ำ/ยาวเกิน</x:v>
      </x:c>
      <x:c r="I34" s="139" t="str">
        <x:v>Duplicate type</x:v>
      </x:c>
      <x:c r="J34" s="139" t="str">
        <x:v>แสดงข้อผิดพลาดและไม่สร้างซ้ำ</x:v>
      </x:c>
      <x:c r="K34" s="139" t="str">
        <x:v>-</x:v>
      </x:c>
      <x:c r="L34" s="139" t="str">
        <x:v>ทุกขนาดที่รองรับ</x:v>
      </x:c>
      <x:c r="M34" s="145"/>
      <x:c r="N34" s="145" t="str">
        <x:v>Not Run</x:v>
      </x:c>
      <x:c r="O34" s="145"/>
      <x:c r="P34" s="145"/>
      <x:c r="Q34" s="145"/>
      <x:c r="R34" s="148"/>
      <x:c r="S34" s="145"/>
    </x:row>
    <x:row r="35" ht="58" customHeight="1">
      <x:c r="A35" s="142" t="str">
        <x:v>WA-029</x:v>
      </x:c>
      <x:c r="B35" s="142" t="str">
        <x:v>REQ-WA-SUBJECT-TYPE</x:v>
      </x:c>
      <x:c r="C35" s="142" t="str">
        <x:v>Subject Type</x:v>
      </x:c>
      <x:c r="D35" s="142" t="str">
        <x:v>แก้ไขประเภท</x:v>
      </x:c>
      <x:c r="E35" s="142" t="str">
        <x:v>End-to-End</x:v>
      </x:c>
      <x:c r="F35" s="142" t="str">
        <x:v>P0-Critical</x:v>
      </x:c>
      <x:c r="G35" s="139" t="str">
        <x:v>มีประเภท</x:v>
      </x:c>
      <x:c r="H35" s="139" t="str">
        <x:v>แก้ชื่อ/รายละเอียดและ Save</x:v>
      </x:c>
      <x:c r="I35" s="139" t="str">
        <x:v>TYPE_UPDATED</x:v>
      </x:c>
      <x:c r="J35" s="139" t="str">
        <x:v>ข้อมูลอัปเดตทุกจุดที่อ้างอิงโดย id เดิม</x:v>
      </x:c>
      <x:c r="K35" s="139" t="str">
        <x:v>PUT subject type</x:v>
      </x:c>
      <x:c r="L35" s="139" t="str">
        <x:v>ทุกขนาดที่รองรับ</x:v>
      </x:c>
      <x:c r="M35" s="145"/>
      <x:c r="N35" s="145" t="str">
        <x:v>Not Run</x:v>
      </x:c>
      <x:c r="O35" s="145"/>
      <x:c r="P35" s="145"/>
      <x:c r="Q35" s="145"/>
      <x:c r="R35" s="148"/>
      <x:c r="S35" s="145"/>
    </x:row>
    <x:row r="36" ht="58" customHeight="1">
      <x:c r="A36" s="142" t="str">
        <x:v>WA-030</x:v>
      </x:c>
      <x:c r="B36" s="142" t="str">
        <x:v>REQ-WA-SUBJECT-TYPE</x:v>
      </x:c>
      <x:c r="C36" s="142" t="str">
        <x:v>Subject Type</x:v>
      </x:c>
      <x:c r="D36" s="142" t="str">
        <x:v>ลบประเภทที่ไม่ถูกใช้</x:v>
      </x:c>
      <x:c r="E36" s="142" t="str">
        <x:v>End-to-End</x:v>
      </x:c>
      <x:c r="F36" s="142" t="str">
        <x:v>P1-High</x:v>
      </x:c>
      <x:c r="G36" s="139" t="str">
        <x:v>ประเภทไม่มี subject อ้างอิง</x:v>
      </x:c>
      <x:c r="H36" s="139" t="str">
        <x:v>กด Delete ยืนยัน</x:v>
      </x:c>
      <x:c r="I36" s="139" t="str">
        <x:v>TYPE_UNUSED</x:v>
      </x:c>
      <x:c r="J36" s="139" t="str">
        <x:v>ลบสำเร็จและ summary อัปเดต</x:v>
      </x:c>
      <x:c r="K36" s="139" t="str">
        <x:v>DELETE subject type</x:v>
      </x:c>
      <x:c r="L36" s="139" t="str">
        <x:v>ทุกขนาดที่รองรับ</x:v>
      </x:c>
      <x:c r="M36" s="145"/>
      <x:c r="N36" s="145" t="str">
        <x:v>Not Run</x:v>
      </x:c>
      <x:c r="O36" s="145"/>
      <x:c r="P36" s="145"/>
      <x:c r="Q36" s="145"/>
      <x:c r="R36" s="148"/>
      <x:c r="S36" s="145"/>
    </x:row>
    <x:row r="37" ht="58" customHeight="1">
      <x:c r="A37" s="142" t="str">
        <x:v>WA-031</x:v>
      </x:c>
      <x:c r="B37" s="142" t="str">
        <x:v>REQ-WA-SUBJECT-TYPE</x:v>
      </x:c>
      <x:c r="C37" s="142" t="str">
        <x:v>Subject Type</x:v>
      </x:c>
      <x:c r="D37" s="142" t="str">
        <x:v>ลบประเภทที่ถูกใช้</x:v>
      </x:c>
      <x:c r="E37" s="142" t="str">
        <x:v>Business Rule</x:v>
      </x:c>
      <x:c r="F37" s="142" t="str">
        <x:v>P0-Critical</x:v>
      </x:c>
      <x:c r="G37" s="139" t="str">
        <x:v>มี subject อ้างอิง</x:v>
      </x:c>
      <x:c r="H37" s="139" t="str">
        <x:v>พยายามลบ</x:v>
      </x:c>
      <x:c r="I37" s="139" t="str">
        <x:v>TYPE_IN_USE</x:v>
      </x:c>
      <x:c r="J37" s="139" t="str">
        <x:v>Backend ป้องกันหรือแจ้งผลกระทบตามกติกา ไม่ทำข้อมูลกำพร้า</x:v>
      </x:c>
      <x:c r="K37" s="139" t="str">
        <x:v>-</x:v>
      </x:c>
      <x:c r="L37" s="139" t="str">
        <x:v>ทุกขนาดที่รองรับ</x:v>
      </x:c>
      <x:c r="M37" s="145"/>
      <x:c r="N37" s="145" t="str">
        <x:v>Not Run</x:v>
      </x:c>
      <x:c r="O37" s="145"/>
      <x:c r="P37" s="145"/>
      <x:c r="Q37" s="145"/>
      <x:c r="R37" s="148"/>
      <x:c r="S37" s="145"/>
    </x:row>
    <x:row r="38" ht="58" customHeight="1">
      <x:c r="A38" s="142" t="str">
        <x:v>WA-032</x:v>
      </x:c>
      <x:c r="B38" s="142" t="str">
        <x:v>REQ-WA-SUBJECT-TYPE</x:v>
      </x:c>
      <x:c r="C38" s="142" t="str">
        <x:v>Subject Type</x:v>
      </x:c>
      <x:c r="D38" s="142" t="str">
        <x:v>Responsive/Keyboard</x:v>
      </x:c>
      <x:c r="E38" s="142" t="str">
        <x:v>Accessibility</x:v>
      </x:c>
      <x:c r="F38" s="142" t="str">
        <x:v>P2-Medium</x:v>
      </x:c>
      <x:c r="G38" s="139" t="str">
        <x:v>เปิด modal</x:v>
      </x:c>
      <x:c r="H38" s="139" t="str">
        <x:v>ใช้ keyboard/focus และย่อหน้าจอ</x:v>
      </x:c>
      <x:c r="I38" s="139" t="str">
        <x:v>Desktop small</x:v>
      </x:c>
      <x:c r="J38" s="139" t="str">
        <x:v>ควบคุมได้ครบ focus ไม่หลุดและ modal ไม่ล้น</x:v>
      </x:c>
      <x:c r="K38" s="139" t="str">
        <x:v>-</x:v>
      </x:c>
      <x:c r="L38" s="139" t="str">
        <x:v>ทุกขนาดที่รองรับ</x:v>
      </x:c>
      <x:c r="M38" s="145"/>
      <x:c r="N38" s="145" t="str">
        <x:v>Not Run</x:v>
      </x:c>
      <x:c r="O38" s="145"/>
      <x:c r="P38" s="145"/>
      <x:c r="Q38" s="145"/>
      <x:c r="R38" s="148"/>
      <x:c r="S38" s="145"/>
    </x:row>
    <x:row r="39" ht="58" customHeight="1">
      <x:c r="A39" s="142" t="str">
        <x:v>WA-033</x:v>
      </x:c>
      <x:c r="B39" s="142" t="str">
        <x:v>REQ-WA-SUBJECT</x:v>
      </x:c>
      <x:c r="C39" s="142" t="str">
        <x:v>Subject</x:v>
      </x:c>
      <x:c r="D39" s="142" t="str">
        <x:v>โหลด/สรุปรายวิชา</x:v>
      </x:c>
      <x:c r="E39" s="142" t="str">
        <x:v>Integration</x:v>
      </x:c>
      <x:c r="F39" s="142" t="str">
        <x:v>P0-Critical</x:v>
      </x:c>
      <x:c r="G39" s="139" t="str">
        <x:v>มี subjects</x:v>
      </x:c>
      <x:c r="H39" s="139" t="str">
        <x:v>เปิด /Subject</x:v>
      </x:c>
      <x:c r="I39" s="139" t="str">
        <x:v>Subjects active/inactive</x:v>
      </x:c>
      <x:c r="J39" s="139" t="str">
        <x:v>รายการ hierarchy/summary ตรง API</x:v>
      </x:c>
      <x:c r="K39" s="139" t="str">
        <x:v>GET subjects</x:v>
      </x:c>
      <x:c r="L39" s="139" t="str">
        <x:v>ทุกขนาดที่รองรับ</x:v>
      </x:c>
      <x:c r="M39" s="145"/>
      <x:c r="N39" s="145" t="str">
        <x:v>Not Run</x:v>
      </x:c>
      <x:c r="O39" s="145"/>
      <x:c r="P39" s="145"/>
      <x:c r="Q39" s="145"/>
      <x:c r="R39" s="148"/>
      <x:c r="S39" s="145"/>
    </x:row>
    <x:row r="40" ht="58" customHeight="1">
      <x:c r="A40" s="142" t="str">
        <x:v>WA-034</x:v>
      </x:c>
      <x:c r="B40" s="142" t="str">
        <x:v>REQ-WA-SUBJECT</x:v>
      </x:c>
      <x:c r="C40" s="142" t="str">
        <x:v>Subject</x:v>
      </x:c>
      <x:c r="D40" s="142" t="str">
        <x:v>ค้นหา/กรอง/Legend</x:v>
      </x:c>
      <x:c r="E40" s="142" t="str">
        <x:v>Functional</x:v>
      </x:c>
      <x:c r="F40" s="142" t="str">
        <x:v>P1-High</x:v>
      </x:c>
      <x:c r="G40" s="139" t="str">
        <x:v>มีหลาย type/status</x:v>
      </x:c>
      <x:c r="H40" s="139" t="str">
        <x:v>ค้นหารหัส/ชื่อ กรองประเภท/สถานะ</x:v>
      </x:c>
      <x:c r="I40" s="139" t="str">
        <x:v>BI, active</x:v>
      </x:c>
      <x:c r="J40" s="139" t="str">
        <x:v>ผลลัพธ์และสี legend ตรงประเภท</x:v>
      </x:c>
      <x:c r="K40" s="139" t="str">
        <x:v>-</x:v>
      </x:c>
      <x:c r="L40" s="139" t="str">
        <x:v>ทุกขนาดที่รองรับ</x:v>
      </x:c>
      <x:c r="M40" s="145"/>
      <x:c r="N40" s="145" t="str">
        <x:v>Not Run</x:v>
      </x:c>
      <x:c r="O40" s="145"/>
      <x:c r="P40" s="145"/>
      <x:c r="Q40" s="145"/>
      <x:c r="R40" s="148"/>
      <x:c r="S40" s="145"/>
    </x:row>
    <x:row r="41" ht="58" customHeight="1">
      <x:c r="A41" s="142" t="str">
        <x:v>WA-035</x:v>
      </x:c>
      <x:c r="B41" s="142" t="str">
        <x:v>REQ-WA-SUBJECT</x:v>
      </x:c>
      <x:c r="C41" s="142" t="str">
        <x:v>Subject</x:v>
      </x:c>
      <x:c r="D41" s="142" t="str">
        <x:v>สร้างรายวิชา</x:v>
      </x:c>
      <x:c r="E41" s="142" t="str">
        <x:v>End-to-End</x:v>
      </x:c>
      <x:c r="F41" s="142" t="str">
        <x:v>P0-Critical</x:v>
      </x:c>
      <x:c r="G41" s="139" t="str">
        <x:v>มี subject type</x:v>
      </x:c>
      <x:c r="H41" s="139" t="str">
        <x:v>กด Add กรอกรหัส ชื่อ หน่วยกิต ประเภท แล้ว Save</x:v>
      </x:c>
      <x:c r="I41" s="139" t="str">
        <x:v>13231 BI 3 credits</x:v>
      </x:c>
      <x:c r="J41" s="139" t="str">
        <x:v>สร้างสำเร็จและพร้อมใช้ใน user schedule ตามสถานะ</x:v>
      </x:c>
      <x:c r="K41" s="139" t="str">
        <x:v>POST subject</x:v>
      </x:c>
      <x:c r="L41" s="139" t="str">
        <x:v>ทุกขนาดที่รองรับ</x:v>
      </x:c>
      <x:c r="M41" s="145"/>
      <x:c r="N41" s="145" t="str">
        <x:v>Not Run</x:v>
      </x:c>
      <x:c r="O41" s="145"/>
      <x:c r="P41" s="145"/>
      <x:c r="Q41" s="145"/>
      <x:c r="R41" s="148"/>
      <x:c r="S41" s="145"/>
    </x:row>
    <x:row r="42" ht="58" customHeight="1">
      <x:c r="A42" s="142" t="str">
        <x:v>WA-036</x:v>
      </x:c>
      <x:c r="B42" s="142" t="str">
        <x:v>REQ-WA-SUBJECT</x:v>
      </x:c>
      <x:c r="C42" s="142" t="str">
        <x:v>Subject</x:v>
      </x:c>
      <x:c r="D42" s="142" t="str">
        <x:v>Validation รายวิชา</x:v>
      </x:c>
      <x:c r="E42" s="142" t="str">
        <x:v>Validation</x:v>
      </x:c>
      <x:c r="F42" s="142" t="str">
        <x:v>P0-Critical</x:v>
      </x:c>
      <x:c r="G42" s="139" t="str">
        <x:v>เปิด form</x:v>
      </x:c>
      <x:c r="H42" s="139" t="str">
        <x:v>กรอกรหัสซ้ำ หน่วยกิตติดลบ/ไม่เป็นจำนวน หรือเว้น type</x:v>
      </x:c>
      <x:c r="I42" s="139" t="str">
        <x:v>Duplicate code, -1</x:v>
      </x:c>
      <x:c r="J42" s="139" t="str">
        <x:v>แจ้งทุกค่าผิดและไม่ส่งข้อมูลเสีย</x:v>
      </x:c>
      <x:c r="K42" s="139" t="str">
        <x:v>-</x:v>
      </x:c>
      <x:c r="L42" s="139" t="str">
        <x:v>ทุกขนาดที่รองรับ</x:v>
      </x:c>
      <x:c r="M42" s="145"/>
      <x:c r="N42" s="145" t="str">
        <x:v>Not Run</x:v>
      </x:c>
      <x:c r="O42" s="145"/>
      <x:c r="P42" s="145"/>
      <x:c r="Q42" s="145"/>
      <x:c r="R42" s="148"/>
      <x:c r="S42" s="145"/>
    </x:row>
    <x:row r="43" ht="58" customHeight="1">
      <x:c r="A43" s="142" t="str">
        <x:v>WA-037</x:v>
      </x:c>
      <x:c r="B43" s="142" t="str">
        <x:v>REQ-WA-SUBJECT</x:v>
      </x:c>
      <x:c r="C43" s="142" t="str">
        <x:v>Subject</x:v>
      </x:c>
      <x:c r="D43" s="142" t="str">
        <x:v>Dropdown และ Hover</x:v>
      </x:c>
      <x:c r="E43" s="142" t="str">
        <x:v>UI/UX</x:v>
      </x:c>
      <x:c r="F43" s="142" t="str">
        <x:v>P2-Medium</x:v>
      </x:c>
      <x:c r="G43" s="139" t="str">
        <x:v>เปิด form</x:v>
      </x:c>
      <x:c r="H43" s="139" t="str">
        <x:v>เปิด Subject type/status dropdown และ hover</x:v>
      </x:c>
      <x:c r="I43" s="139" t="str">
        <x:v>Multiple options</x:v>
      </x:c>
      <x:c r="J43" s="139" t="str">
        <x:v>ใช้ custom dropdown รูปแบบเดียวกัน hover ชัดและ keyboard เลือกได้</x:v>
      </x:c>
      <x:c r="K43" s="139" t="str">
        <x:v>-</x:v>
      </x:c>
      <x:c r="L43" s="139" t="str">
        <x:v>ทุกขนาดที่รองรับ</x:v>
      </x:c>
      <x:c r="M43" s="145"/>
      <x:c r="N43" s="145" t="str">
        <x:v>Not Run</x:v>
      </x:c>
      <x:c r="O43" s="145"/>
      <x:c r="P43" s="145"/>
      <x:c r="Q43" s="145"/>
      <x:c r="R43" s="148"/>
      <x:c r="S43" s="145"/>
    </x:row>
    <x:row r="44" ht="58" customHeight="1">
      <x:c r="A44" s="142" t="str">
        <x:v>WA-038</x:v>
      </x:c>
      <x:c r="B44" s="142" t="str">
        <x:v>REQ-WA-SUBJECT</x:v>
      </x:c>
      <x:c r="C44" s="142" t="str">
        <x:v>Subject</x:v>
      </x:c>
      <x:c r="D44" s="142" t="str">
        <x:v>แก้ไขรายวิชา</x:v>
      </x:c>
      <x:c r="E44" s="142" t="str">
        <x:v>End-to-End</x:v>
      </x:c>
      <x:c r="F44" s="142" t="str">
        <x:v>P0-Critical</x:v>
      </x:c>
      <x:c r="G44" s="139" t="str">
        <x:v>มี subject</x:v>
      </x:c>
      <x:c r="H44" s="139" t="str">
        <x:v>แก้ชื่อ/หน่วยกิต/type แล้ว Save</x:v>
      </x:c>
      <x:c r="I44" s="139" t="str">
        <x:v>SUBJECT_UPDATED</x:v>
      </x:c>
      <x:c r="J44" s="139" t="str">
        <x:v>รายการและจุดใช้งานใหม่อัปเดตโดย id เดิม</x:v>
      </x:c>
      <x:c r="K44" s="139" t="str">
        <x:v>PUT subject</x:v>
      </x:c>
      <x:c r="L44" s="139" t="str">
        <x:v>ทุกขนาดที่รองรับ</x:v>
      </x:c>
      <x:c r="M44" s="145"/>
      <x:c r="N44" s="145" t="str">
        <x:v>Not Run</x:v>
      </x:c>
      <x:c r="O44" s="145"/>
      <x:c r="P44" s="145"/>
      <x:c r="Q44" s="145"/>
      <x:c r="R44" s="148"/>
      <x:c r="S44" s="145"/>
    </x:row>
    <x:row r="45" ht="58" customHeight="1">
      <x:c r="A45" s="142" t="str">
        <x:v>WA-039</x:v>
      </x:c>
      <x:c r="B45" s="142" t="str">
        <x:v>REQ-WA-SUBJECT</x:v>
      </x:c>
      <x:c r="C45" s="142" t="str">
        <x:v>Subject</x:v>
      </x:c>
      <x:c r="D45" s="142" t="str">
        <x:v>Deactivate/Activate</x:v>
      </x:c>
      <x:c r="E45" s="142" t="str">
        <x:v>End-to-End</x:v>
      </x:c>
      <x:c r="F45" s="142" t="str">
        <x:v>P0-Critical</x:v>
      </x:c>
      <x:c r="G45" s="139" t="str">
        <x:v>มี subject</x:v>
      </x:c>
      <x:c r="H45" s="139" t="str">
        <x:v>เปลี่ยน active เป็น inactive แล้วกลับ active</x:v>
      </x:c>
      <x:c r="I45" s="139" t="str">
        <x:v>SUBJECT_EXISTING</x:v>
      </x:c>
      <x:c r="J45" s="139" t="str">
        <x:v>สถานะ/สีอัปเดต และ user ไม่เห็น inactive ในการสร้างรายการใหม่</x:v>
      </x:c>
      <x:c r="K45" s="139" t="str">
        <x:v>PATCH subject status</x:v>
      </x:c>
      <x:c r="L45" s="139" t="str">
        <x:v>ทุกขนาดที่รองรับ</x:v>
      </x:c>
      <x:c r="M45" s="145"/>
      <x:c r="N45" s="145" t="str">
        <x:v>Not Run</x:v>
      </x:c>
      <x:c r="O45" s="145"/>
      <x:c r="P45" s="145"/>
      <x:c r="Q45" s="145"/>
      <x:c r="R45" s="148"/>
      <x:c r="S45" s="145"/>
    </x:row>
    <x:row r="46" ht="58" customHeight="1">
      <x:c r="A46" s="142" t="str">
        <x:v>WA-040</x:v>
      </x:c>
      <x:c r="B46" s="142" t="str">
        <x:v>REQ-WA-SUBJECT</x:v>
      </x:c>
      <x:c r="C46" s="142" t="str">
        <x:v>Subject</x:v>
      </x:c>
      <x:c r="D46" s="142" t="str">
        <x:v>ผลต่อ Schedule เดิม</x:v>
      </x:c>
      <x:c r="E46" s="142" t="str">
        <x:v>Regression</x:v>
      </x:c>
      <x:c r="F46" s="142" t="str">
        <x:v>P0-Critical</x:v>
      </x:c>
      <x:c r="G46" s="139" t="str">
        <x:v>subject ถูกใช้ใน schedule</x:v>
      </x:c>
      <x:c r="H46" s="139" t="str">
        <x:v>Deactivate subject</x:v>
      </x:c>
      <x:c r="I46" s="139" t="str">
        <x:v>SUBJECT_IN_USE</x:v>
      </x:c>
      <x:c r="J46" s="139" t="str">
        <x:v>ประวัติ/ตารางเดิมยังอ่านได้ แต่ไม่เลือกเพิ่มใหม่ตามกติกา</x:v>
      </x:c>
      <x:c r="K46" s="139" t="str">
        <x:v>-</x:v>
      </x:c>
      <x:c r="L46" s="139" t="str">
        <x:v>ทุกขนาดที่รองรับ</x:v>
      </x:c>
      <x:c r="M46" s="145"/>
      <x:c r="N46" s="145" t="str">
        <x:v>Not Run</x:v>
      </x:c>
      <x:c r="O46" s="145"/>
      <x:c r="P46" s="145"/>
      <x:c r="Q46" s="145"/>
      <x:c r="R46" s="148"/>
      <x:c r="S46" s="145"/>
    </x:row>
    <x:row r="47" ht="58" customHeight="1">
      <x:c r="A47" s="142" t="str">
        <x:v>WA-041</x:v>
      </x:c>
      <x:c r="B47" s="142" t="str">
        <x:v>REQ-WA-SUBJECT</x:v>
      </x:c>
      <x:c r="C47" s="142" t="str">
        <x:v>Subject</x:v>
      </x:c>
      <x:c r="D47" s="142" t="str">
        <x:v>API error</x:v>
      </x:c>
      <x:c r="E47" s="142" t="str">
        <x:v>Recovery</x:v>
      </x:c>
      <x:c r="F47" s="142" t="str">
        <x:v>P1-High</x:v>
      </x:c>
      <x:c r="G47" s="139" t="str">
        <x:v>จำลอง save ล้มเหลว</x:v>
      </x:c>
      <x:c r="H47" s="139" t="str">
        <x:v>แก้ข้อมูลแล้ว Save/Retry</x:v>
      </x:c>
      <x:c r="I47" s="139" t="str">
        <x:v>HTTP 409/500</x:v>
      </x:c>
      <x:c r="J47" s="139" t="str">
        <x:v>แจ้งสาเหตุ คงค่าฟอร์ม และไม่เกิดรายการซ้ำ</x:v>
      </x:c>
      <x:c r="K47" s="139" t="str">
        <x:v>-</x:v>
      </x:c>
      <x:c r="L47" s="139" t="str">
        <x:v>ทุกขนาดที่รองรับ</x:v>
      </x:c>
      <x:c r="M47" s="145"/>
      <x:c r="N47" s="145" t="str">
        <x:v>Not Run</x:v>
      </x:c>
      <x:c r="O47" s="145"/>
      <x:c r="P47" s="145"/>
      <x:c r="Q47" s="145"/>
      <x:c r="R47" s="148"/>
      <x:c r="S47" s="145"/>
    </x:row>
    <x:row r="48" ht="58" customHeight="1">
      <x:c r="A48" s="142" t="str">
        <x:v>WA-042</x:v>
      </x:c>
      <x:c r="B48" s="142" t="str">
        <x:v>REQ-WA-EXAM</x:v>
      </x:c>
      <x:c r="C48" s="142" t="str">
        <x:v>Exam</x:v>
      </x:c>
      <x:c r="D48" s="142" t="str">
        <x:v>โหลดรายการและ Summary</x:v>
      </x:c>
      <x:c r="E48" s="142" t="str">
        <x:v>Integration</x:v>
      </x:c>
      <x:c r="F48" s="142" t="str">
        <x:v>P0-Critical</x:v>
      </x:c>
      <x:c r="G48" s="139" t="str">
        <x:v>admin ล็อกอิน</x:v>
      </x:c>
      <x:c r="H48" s="139" t="str">
        <x:v>เปิด /Exam</x:v>
      </x:c>
      <x:c r="I48" s="139" t="str">
        <x:v>Exams seed</x:v>
      </x:c>
      <x:c r="J48" s="139" t="str">
        <x:v>การ์ด/summary และ hierarchy ตรง API</x:v>
      </x:c>
      <x:c r="K48" s="139" t="str">
        <x:v>GET exams</x:v>
      </x:c>
      <x:c r="L48" s="139" t="str">
        <x:v>ทุกขนาดที่รองรับ</x:v>
      </x:c>
      <x:c r="M48" s="145"/>
      <x:c r="N48" s="145" t="str">
        <x:v>Not Run</x:v>
      </x:c>
      <x:c r="O48" s="145"/>
      <x:c r="P48" s="145"/>
      <x:c r="Q48" s="145"/>
      <x:c r="R48" s="148"/>
      <x:c r="S48" s="145"/>
    </x:row>
    <x:row r="49" ht="58" customHeight="1">
      <x:c r="A49" s="142" t="str">
        <x:v>WA-043</x:v>
      </x:c>
      <x:c r="B49" s="142" t="str">
        <x:v>REQ-WA-EXAM</x:v>
      </x:c>
      <x:c r="C49" s="142" t="str">
        <x:v>Exam</x:v>
      </x:c>
      <x:c r="D49" s="142" t="str">
        <x:v>สร้าง Exam metadata</x:v>
      </x:c>
      <x:c r="E49" s="142" t="str">
        <x:v>End-to-End</x:v>
      </x:c>
      <x:c r="F49" s="142" t="str">
        <x:v>P0-Critical</x:v>
      </x:c>
      <x:c r="G49" s="139" t="str">
        <x:v>มี subject</x:v>
      </x:c>
      <x:c r="H49" s="139" t="str">
        <x:v>กด Add Exam กรอกชื่อ วิชา เวลา สถานะ แล้ว Save</x:v>
      </x:c>
      <x:c r="I49" s="139" t="str">
        <x:v>BI Checkpoint 1, 15 นาที</x:v>
      </x:c>
      <x:c r="J49" s="139" t="str">
        <x:v>สร้าง repository ถูกวิชาและเปิดเพิ่ม Part ได้</x:v>
      </x:c>
      <x:c r="K49" s="139" t="str">
        <x:v>POST exam</x:v>
      </x:c>
      <x:c r="L49" s="139" t="str">
        <x:v>ทุกขนาดที่รองรับ</x:v>
      </x:c>
      <x:c r="M49" s="145"/>
      <x:c r="N49" s="145" t="str">
        <x:v>Not Run</x:v>
      </x:c>
      <x:c r="O49" s="145"/>
      <x:c r="P49" s="145"/>
      <x:c r="Q49" s="145"/>
      <x:c r="R49" s="148"/>
      <x:c r="S49" s="145"/>
    </x:row>
    <x:row r="50" ht="58" customHeight="1">
      <x:c r="A50" s="142" t="str">
        <x:v>WA-044</x:v>
      </x:c>
      <x:c r="B50" s="142" t="str">
        <x:v>REQ-WA-EXAM</x:v>
      </x:c>
      <x:c r="C50" s="142" t="str">
        <x:v>Exam</x:v>
      </x:c>
      <x:c r="D50" s="142" t="str">
        <x:v>Validation Exam</x:v>
      </x:c>
      <x:c r="E50" s="142" t="str">
        <x:v>Validation</x:v>
      </x:c>
      <x:c r="F50" s="142" t="str">
        <x:v>P0-Critical</x:v>
      </x:c>
      <x:c r="G50" s="139" t="str">
        <x:v>เปิด Exam form</x:v>
      </x:c>
      <x:c r="H50" s="139" t="str">
        <x:v>เว้นวิชา/ชื่อ กรอกเวลา &lt;=0 หรือชื่อซ้ำ</x:v>
      </x:c>
      <x:c r="I50" s="139" t="str">
        <x:v>0 minutes/duplicate</x:v>
      </x:c>
      <x:c r="J50" s="139" t="str">
        <x:v>แสดงข้อผิดพลาดและไม่สร้าง exam</x:v>
      </x:c>
      <x:c r="K50" s="139" t="str">
        <x:v>-</x:v>
      </x:c>
      <x:c r="L50" s="139" t="str">
        <x:v>ทุกขนาดที่รองรับ</x:v>
      </x:c>
      <x:c r="M50" s="145"/>
      <x:c r="N50" s="145" t="str">
        <x:v>Not Run</x:v>
      </x:c>
      <x:c r="O50" s="145"/>
      <x:c r="P50" s="145"/>
      <x:c r="Q50" s="145"/>
      <x:c r="R50" s="148"/>
      <x:c r="S50" s="145"/>
    </x:row>
    <x:row r="51" ht="58" customHeight="1">
      <x:c r="A51" s="142" t="str">
        <x:v>WA-045</x:v>
      </x:c>
      <x:c r="B51" s="142" t="str">
        <x:v>REQ-WA-EXAM</x:v>
      </x:c>
      <x:c r="C51" s="142" t="str">
        <x:v>Exam</x:v>
      </x:c>
      <x:c r="D51" s="142" t="str">
        <x:v>แก้ไข Exam</x:v>
      </x:c>
      <x:c r="E51" s="142" t="str">
        <x:v>End-to-End</x:v>
      </x:c>
      <x:c r="F51" s="142" t="str">
        <x:v>P0-Critical</x:v>
      </x:c>
      <x:c r="G51" s="139" t="str">
        <x:v>มี exam</x:v>
      </x:c>
      <x:c r="H51" s="139" t="str">
        <x:v>แก้ metadata แล้ว Save</x:v>
      </x:c>
      <x:c r="I51" s="139" t="str">
        <x:v>Time 20 min</x:v>
      </x:c>
      <x:c r="J51" s="139" t="str">
        <x:v>ข้อมูลใหม่แสดงใน Admin และ user exam detail ตามสิทธิ์</x:v>
      </x:c>
      <x:c r="K51" s="139" t="str">
        <x:v>PUT exam</x:v>
      </x:c>
      <x:c r="L51" s="139" t="str">
        <x:v>ทุกขนาดที่รองรับ</x:v>
      </x:c>
      <x:c r="M51" s="145"/>
      <x:c r="N51" s="145" t="str">
        <x:v>Not Run</x:v>
      </x:c>
      <x:c r="O51" s="145"/>
      <x:c r="P51" s="145"/>
      <x:c r="Q51" s="145"/>
      <x:c r="R51" s="148"/>
      <x:c r="S51" s="145"/>
    </x:row>
    <x:row r="52" ht="58" customHeight="1">
      <x:c r="A52" s="142" t="str">
        <x:v>WA-046</x:v>
      </x:c>
      <x:c r="B52" s="142" t="str">
        <x:v>REQ-WA-EXAM</x:v>
      </x:c>
      <x:c r="C52" s="142" t="str">
        <x:v>Exam</x:v>
      </x:c>
      <x:c r="D52" s="142" t="str">
        <x:v>รายละเอียด Hierarchy</x:v>
      </x:c>
      <x:c r="E52" s="142" t="str">
        <x:v>Functional</x:v>
      </x:c>
      <x:c r="F52" s="142" t="str">
        <x:v>P1-High</x:v>
      </x:c>
      <x:c r="G52" s="139" t="str">
        <x:v>exam มี parts/questions/choices</x:v>
      </x:c>
      <x:c r="H52" s="139" t="str">
        <x:v>เปิด/ปิดแต่ละระดับ hierarchy</x:v>
      </x:c>
      <x:c r="I52" s="139" t="str">
        <x:v>EXAM_BI_10Q</x:v>
      </x:c>
      <x:c r="J52" s="139" t="str">
        <x:v>จำนวน/ลำดับ/คะแนนแต่ละระดับถูกและ state ไม่สับสน</x:v>
      </x:c>
      <x:c r="K52" s="139" t="str">
        <x:v>-</x:v>
      </x:c>
      <x:c r="L52" s="139" t="str">
        <x:v>ทุกขนาดที่รองรับ</x:v>
      </x:c>
      <x:c r="M52" s="145"/>
      <x:c r="N52" s="145" t="str">
        <x:v>Not Run</x:v>
      </x:c>
      <x:c r="O52" s="145"/>
      <x:c r="P52" s="145"/>
      <x:c r="Q52" s="145"/>
      <x:c r="R52" s="148"/>
      <x:c r="S52" s="145"/>
    </x:row>
    <x:row r="53" ht="58" customHeight="1">
      <x:c r="A53" s="142" t="str">
        <x:v>WA-047</x:v>
      </x:c>
      <x:c r="B53" s="142" t="str">
        <x:v>REQ-WA-EXAM</x:v>
      </x:c>
      <x:c r="C53" s="142" t="str">
        <x:v>Exam</x:v>
      </x:c>
      <x:c r="D53" s="142" t="str">
        <x:v>สร้าง Part</x:v>
      </x:c>
      <x:c r="E53" s="142" t="str">
        <x:v>End-to-End</x:v>
      </x:c>
      <x:c r="F53" s="142" t="str">
        <x:v>P0-Critical</x:v>
      </x:c>
      <x:c r="G53" s="139" t="str">
        <x:v>มี exam</x:v>
      </x:c>
      <x:c r="H53" s="139" t="str">
        <x:v>เพิ่มชื่อ Part, part_score, topic และ study_type</x:v>
      </x:c>
      <x:c r="I53" s="139" t="str">
        <x:v>Login Analysis, 5 คะแนน</x:v>
      </x:c>
      <x:c r="J53" s="139" t="str">
        <x:v>Part ถูกลำดับและคะแนนเต็มเก็บใน exam_part</x:v>
      </x:c>
      <x:c r="K53" s="139" t="str">
        <x:v>POST exam part</x:v>
      </x:c>
      <x:c r="L53" s="139" t="str">
        <x:v>ทุกขนาดที่รองรับ</x:v>
      </x:c>
      <x:c r="M53" s="145"/>
      <x:c r="N53" s="145" t="str">
        <x:v>Not Run</x:v>
      </x:c>
      <x:c r="O53" s="145"/>
      <x:c r="P53" s="145"/>
      <x:c r="Q53" s="145"/>
      <x:c r="R53" s="148"/>
      <x:c r="S53" s="145"/>
    </x:row>
    <x:row r="54" ht="58" customHeight="1">
      <x:c r="A54" s="142" t="str">
        <x:v>WA-048</x:v>
      </x:c>
      <x:c r="B54" s="142" t="str">
        <x:v>REQ-WA-EXAM</x:v>
      </x:c>
      <x:c r="C54" s="142" t="str">
        <x:v>Exam</x:v>
      </x:c>
      <x:c r="D54" s="142" t="str">
        <x:v>Validation Part</x:v>
      </x:c>
      <x:c r="E54" s="142" t="str">
        <x:v>Validation</x:v>
      </x:c>
      <x:c r="F54" s="142" t="str">
        <x:v>P0-Critical</x:v>
      </x:c>
      <x:c r="G54" s="139" t="str">
        <x:v>เปิด Part form</x:v>
      </x:c>
      <x:c r="H54" s="139" t="str">
        <x:v>กรอกคะแนน &lt;=0/ซ้ำลำดับ/ไม่มี topic</x:v>
      </x:c>
      <x:c r="I54" s="139" t="str">
        <x:v>-1, duplicate order</x:v>
      </x:c>
      <x:c r="J54" s="139" t="str">
        <x:v>ปฏิเสธข้อมูลผิดและผลรวมคะแนน exam สมเหตุผล</x:v>
      </x:c>
      <x:c r="K54" s="139" t="str">
        <x:v>-</x:v>
      </x:c>
      <x:c r="L54" s="139" t="str">
        <x:v>ทุกขนาดที่รองรับ</x:v>
      </x:c>
      <x:c r="M54" s="145"/>
      <x:c r="N54" s="145" t="str">
        <x:v>Not Run</x:v>
      </x:c>
      <x:c r="O54" s="145"/>
      <x:c r="P54" s="145"/>
      <x:c r="Q54" s="145"/>
      <x:c r="R54" s="148"/>
      <x:c r="S54" s="145"/>
    </x:row>
    <x:row r="55" ht="58" customHeight="1">
      <x:c r="A55" s="142" t="str">
        <x:v>WA-049</x:v>
      </x:c>
      <x:c r="B55" s="142" t="str">
        <x:v>REQ-WA-EXAM</x:v>
      </x:c>
      <x:c r="C55" s="142" t="str">
        <x:v>Exam</x:v>
      </x:c>
      <x:c r="D55" s="142" t="str">
        <x:v>สร้าง Question</x:v>
      </x:c>
      <x:c r="E55" s="142" t="str">
        <x:v>End-to-End</x:v>
      </x:c>
      <x:c r="F55" s="142" t="str">
        <x:v>P0-Critical</x:v>
      </x:c>
      <x:c r="G55" s="139" t="str">
        <x:v>มี Part</x:v>
      </x:c>
      <x:c r="H55" s="139" t="str">
        <x:v>เพิ่มคำถามและคะแนน</x:v>
      </x:c>
      <x:c r="I55" s="139" t="str">
        <x:v>Question text, 1 point</x:v>
      </x:c>
      <x:c r="J55" s="139" t="str">
        <x:v>Question อยู่ Part ถูกต้องและลำดับถูก</x:v>
      </x:c>
      <x:c r="K55" s="139" t="str">
        <x:v>POST question</x:v>
      </x:c>
      <x:c r="L55" s="139" t="str">
        <x:v>ทุกขนาดที่รองรับ</x:v>
      </x:c>
      <x:c r="M55" s="145"/>
      <x:c r="N55" s="145" t="str">
        <x:v>Not Run</x:v>
      </x:c>
      <x:c r="O55" s="145"/>
      <x:c r="P55" s="145"/>
      <x:c r="Q55" s="145"/>
      <x:c r="R55" s="148"/>
      <x:c r="S55" s="145"/>
    </x:row>
    <x:row r="56" ht="58" customHeight="1">
      <x:c r="A56" s="142" t="str">
        <x:v>WA-050</x:v>
      </x:c>
      <x:c r="B56" s="142" t="str">
        <x:v>REQ-WA-EXAM</x:v>
      </x:c>
      <x:c r="C56" s="142" t="str">
        <x:v>Exam</x:v>
      </x:c>
      <x:c r="D56" s="142" t="str">
        <x:v>สร้าง Choices/เฉลย</x:v>
      </x:c>
      <x:c r="E56" s="142" t="str">
        <x:v>End-to-End</x:v>
      </x:c>
      <x:c r="F56" s="142" t="str">
        <x:v>P0-Critical</x:v>
      </x:c>
      <x:c r="G56" s="139" t="str">
        <x:v>มี Question</x:v>
      </x:c>
      <x:c r="H56" s="139" t="str">
        <x:v>เพิ่มอย่างน้อย 2 choices กำหนดเฉลย 1 ค่า</x:v>
      </x:c>
      <x:c r="I56" s="139" t="str">
        <x:v>A-D, correct=B</x:v>
      </x:c>
      <x:c r="J56" s="139" t="str">
        <x:v>บันทึกครบและ user ไม่เห็น flag เฉลยก่อนส่ง</x:v>
      </x:c>
      <x:c r="K56" s="139" t="str">
        <x:v>POST choice</x:v>
      </x:c>
      <x:c r="L56" s="139" t="str">
        <x:v>ทุกขนาดที่รองรับ</x:v>
      </x:c>
      <x:c r="M56" s="145"/>
      <x:c r="N56" s="145" t="str">
        <x:v>Not Run</x:v>
      </x:c>
      <x:c r="O56" s="145"/>
      <x:c r="P56" s="145"/>
      <x:c r="Q56" s="145"/>
      <x:c r="R56" s="148"/>
      <x:c r="S56" s="145"/>
    </x:row>
    <x:row r="57" ht="58" customHeight="1">
      <x:c r="A57" s="142" t="str">
        <x:v>WA-051</x:v>
      </x:c>
      <x:c r="B57" s="142" t="str">
        <x:v>REQ-WA-EXAM</x:v>
      </x:c>
      <x:c r="C57" s="142" t="str">
        <x:v>Exam</x:v>
      </x:c>
      <x:c r="D57" s="142" t="str">
        <x:v>Validation Choices</x:v>
      </x:c>
      <x:c r="E57" s="142" t="str">
        <x:v>Validation</x:v>
      </x:c>
      <x:c r="F57" s="142" t="str">
        <x:v>P0-Critical</x:v>
      </x:c>
      <x:c r="G57" s="139" t="str">
        <x:v>แก้ Question</x:v>
      </x:c>
      <x:c r="H57" s="139" t="str">
        <x:v>ไม่มี choice ถูก/มีถูกหลายตัว/ข้อความซ้ำ</x:v>
      </x:c>
      <x:c r="I57" s="139" t="str">
        <x:v>Invalid choices</x:v>
      </x:c>
      <x:c r="J57" s="139" t="str">
        <x:v>ปฏิเสธหรือแจ้งตามกติกา ไม่เผยแพร่ข้อสอบที่ตอบไม่ได้</x:v>
      </x:c>
      <x:c r="K57" s="139" t="str">
        <x:v>-</x:v>
      </x:c>
      <x:c r="L57" s="139" t="str">
        <x:v>ทุกขนาดที่รองรับ</x:v>
      </x:c>
      <x:c r="M57" s="145"/>
      <x:c r="N57" s="145" t="str">
        <x:v>Not Run</x:v>
      </x:c>
      <x:c r="O57" s="145"/>
      <x:c r="P57" s="145"/>
      <x:c r="Q57" s="145"/>
      <x:c r="R57" s="148"/>
      <x:c r="S57" s="145"/>
    </x:row>
    <x:row r="58" ht="58" customHeight="1">
      <x:c r="A58" s="142" t="str">
        <x:v>WA-052</x:v>
      </x:c>
      <x:c r="B58" s="142" t="str">
        <x:v>REQ-WA-EXAM</x:v>
      </x:c>
      <x:c r="C58" s="142" t="str">
        <x:v>Exam</x:v>
      </x:c>
      <x:c r="D58" s="142" t="str">
        <x:v>แก้ Part/Question/Choice</x:v>
      </x:c>
      <x:c r="E58" s="142" t="str">
        <x:v>End-to-End</x:v>
      </x:c>
      <x:c r="F58" s="142" t="str">
        <x:v>P0-Critical</x:v>
      </x:c>
      <x:c r="G58" s="139" t="str">
        <x:v>มี hierarchy</x:v>
      </x:c>
      <x:c r="H58" s="139" t="str">
        <x:v>แก้แต่ละระดับแล้ว reload</x:v>
      </x:c>
      <x:c r="I58" s="139" t="str">
        <x:v>Updated texts/scores</x:v>
      </x:c>
      <x:c r="J58" s="139" t="str">
        <x:v>ข้อมูลคงอยู่ ลำดับไม่เสีย และคะแนนเต็มคำนวณถูก</x:v>
      </x:c>
      <x:c r="K58" s="139" t="str">
        <x:v>PUT part/question/choice</x:v>
      </x:c>
      <x:c r="L58" s="139" t="str">
        <x:v>ทุกขนาดที่รองรับ</x:v>
      </x:c>
      <x:c r="M58" s="145"/>
      <x:c r="N58" s="145" t="str">
        <x:v>Not Run</x:v>
      </x:c>
      <x:c r="O58" s="145"/>
      <x:c r="P58" s="145"/>
      <x:c r="Q58" s="145"/>
      <x:c r="R58" s="148"/>
      <x:c r="S58" s="145"/>
    </x:row>
    <x:row r="59" ht="58" customHeight="1">
      <x:c r="A59" s="142" t="str">
        <x:v>WA-053</x:v>
      </x:c>
      <x:c r="B59" s="142" t="str">
        <x:v>REQ-WA-EXAM</x:v>
      </x:c>
      <x:c r="C59" s="142" t="str">
        <x:v>Exam</x:v>
      </x:c>
      <x:c r="D59" s="142" t="str">
        <x:v>ลบเนื้อหาและผลกระทบ</x:v>
      </x:c>
      <x:c r="E59" s="142" t="str">
        <x:v>Business Rule</x:v>
      </x:c>
      <x:c r="F59" s="142" t="str">
        <x:v>P0-Critical</x:v>
      </x:c>
      <x:c r="G59" s="139" t="str">
        <x:v>มี/ไม่มีประวัติสอบ</x:v>
      </x:c>
      <x:c r="H59" s="139" t="str">
        <x:v>ลบ choice/question/part และยืนยัน</x:v>
      </x:c>
      <x:c r="I59" s="139" t="str">
        <x:v>Content with history</x:v>
      </x:c>
      <x:c r="J59" s="139" t="str">
        <x:v>ป้องกันข้อมูลประวัติเสีย หรือแจ้งผลกระทบชัด; Cancel ไม่เปลี่ยนข้อมูล</x:v>
      </x:c>
      <x:c r="K59" s="139" t="str">
        <x:v>DELETE part/question/choice</x:v>
      </x:c>
      <x:c r="L59" s="139" t="str">
        <x:v>ทุกขนาดที่รองรับ</x:v>
      </x:c>
      <x:c r="M59" s="145"/>
      <x:c r="N59" s="145" t="str">
        <x:v>Not Run</x:v>
      </x:c>
      <x:c r="O59" s="145"/>
      <x:c r="P59" s="145"/>
      <x:c r="Q59" s="145"/>
      <x:c r="R59" s="148"/>
      <x:c r="S59" s="145"/>
    </x:row>
    <x:row r="60" ht="58" customHeight="1">
      <x:c r="A60" s="142" t="str">
        <x:v>WA-054</x:v>
      </x:c>
      <x:c r="B60" s="142" t="str">
        <x:v>REQ-WA-EXAM</x:v>
      </x:c>
      <x:c r="C60" s="142" t="str">
        <x:v>Exam</x:v>
      </x:c>
      <x:c r="D60" s="142" t="str">
        <x:v>คะแนนรวม</x:v>
      </x:c>
      <x:c r="E60" s="142" t="str">
        <x:v>Calculation</x:v>
      </x:c>
      <x:c r="F60" s="142" t="str">
        <x:v>P0-Critical</x:v>
      </x:c>
      <x:c r="G60" s="139" t="str">
        <x:v>มีหลาย Part/Question</x:v>
      </x:c>
      <x:c r="H60" s="139" t="str">
        <x:v>เทียบคะแนน Part กับคำถามและคะแนน exam</x:v>
      </x:c>
      <x:c r="I60" s="139" t="str">
        <x:v>Part 4+6</x:v>
      </x:c>
      <x:c r="J60" s="139" t="str">
        <x:v>คะแนนเต็มสัมพันธ์กัน; percentage คำนวณ Backend ไม่เก็บซ้ำโดยไม่จำเป็น</x:v>
      </x:c>
      <x:c r="K60" s="139" t="str">
        <x:v>-</x:v>
      </x:c>
      <x:c r="L60" s="139" t="str">
        <x:v>ทุกขนาดที่รองรับ</x:v>
      </x:c>
      <x:c r="M60" s="145"/>
      <x:c r="N60" s="145" t="str">
        <x:v>Not Run</x:v>
      </x:c>
      <x:c r="O60" s="145"/>
      <x:c r="P60" s="145"/>
      <x:c r="Q60" s="145"/>
      <x:c r="R60" s="148"/>
      <x:c r="S60" s="145"/>
    </x:row>
    <x:row r="61" ht="58" customHeight="1">
      <x:c r="A61" s="142" t="str">
        <x:v>WA-055</x:v>
      </x:c>
      <x:c r="B61" s="142" t="str">
        <x:v>REQ-WA-EXAM</x:v>
      </x:c>
      <x:c r="C61" s="142" t="str">
        <x:v>Exam</x:v>
      </x:c>
      <x:c r="D61" s="142" t="str">
        <x:v>เผยแพร่และ User visibility</x:v>
      </x:c>
      <x:c r="E61" s="142" t="str">
        <x:v>End-to-End</x:v>
      </x:c>
      <x:c r="F61" s="142" t="str">
        <x:v>P0-Critical</x:v>
      </x:c>
      <x:c r="G61" s="139" t="str">
        <x:v>exam เนื้อหาครบ</x:v>
      </x:c>
      <x:c r="H61" s="139" t="str">
        <x:v>เปลี่ยนสถานะพร้อมใช้แล้วตรวจ Web/Mobile user</x:v>
      </x:c>
      <x:c r="I61" s="139" t="str">
        <x:v>Published exam</x:v>
      </x:c>
      <x:c r="J61" s="139" t="str">
        <x:v>เฉพาะ exam ที่พร้อมและถึง checkpoint แสดงแก่ user</x:v>
      </x:c>
      <x:c r="K61" s="139" t="str">
        <x:v>-</x:v>
      </x:c>
      <x:c r="L61" s="139" t="str">
        <x:v>ทุกขนาดที่รองรับ</x:v>
      </x:c>
      <x:c r="M61" s="145"/>
      <x:c r="N61" s="145" t="str">
        <x:v>Not Run</x:v>
      </x:c>
      <x:c r="O61" s="145"/>
      <x:c r="P61" s="145"/>
      <x:c r="Q61" s="145"/>
      <x:c r="R61" s="148"/>
      <x:c r="S61" s="145"/>
    </x:row>
    <x:row r="62" ht="58" customHeight="1">
      <x:c r="A62" s="143" t="str">
        <x:v>WA-056</x:v>
      </x:c>
      <x:c r="B62" s="143" t="str">
        <x:v>REQ-WA-EXAM</x:v>
      </x:c>
      <x:c r="C62" s="143" t="str">
        <x:v>Exam</x:v>
      </x:c>
      <x:c r="D62" s="143" t="str">
        <x:v>ข้อมูลจำนวนมาก/Responsive</x:v>
      </x:c>
      <x:c r="E62" s="143" t="str">
        <x:v>Performance</x:v>
      </x:c>
      <x:c r="F62" s="143" t="str">
        <x:v>P2-Medium</x:v>
      </x:c>
      <x:c r="G62" s="140" t="str">
        <x:v>มี exams/คำถามจำนวนมาก</x:v>
      </x:c>
      <x:c r="H62" s="140" t="str">
        <x:v>ค้นหา เปิด hierarchy และ modal</x:v>
      </x:c>
      <x:c r="I62" s="140" t="str">
        <x:v>100 exams, 100 questions</x:v>
      </x:c>
      <x:c r="J62" s="140" t="str">
        <x:v>ตอบสนองได้ scroll/focus ถูก และ modal ไม่ถูกตัด</x:v>
      </x:c>
      <x:c r="K62" s="140" t="str">
        <x:v>-</x:v>
      </x:c>
      <x:c r="L62" s="140" t="str">
        <x:v>ทุกขนาดที่รองรับ</x:v>
      </x:c>
      <x:c r="M62" s="146"/>
      <x:c r="N62" s="146" t="str">
        <x:v>Not Run</x:v>
      </x:c>
      <x:c r="O62" s="146"/>
      <x:c r="P62" s="146"/>
      <x:c r="Q62" s="146"/>
      <x:c r="R62" s="149"/>
      <x:c r="S62" s="146"/>
    </x:row>
  </x:sheetData>
  <x:mergeCells>
    <x:mergeCell ref="A1:S1"/>
    <x:mergeCell ref="A2:S2"/>
    <x:mergeCell ref="J3:S4"/>
  </x:mergeCells>
  <x:conditionalFormatting sqref="N7:N62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conditionalFormatting sqref="F7:F62">
    <x:cfRule type="containsText" dxfId="4" priority="5" operator="containsText" text="P0"/>
    <x:cfRule type="containsText" dxfId="5" priority="6" operator="containsText" text="P1"/>
  </x:conditionalFormatting>
  <x:dataValidations count="4">
    <x:dataValidation type="list" sqref="N7:N62">
      <x:formula1>"Not Run,Pass,Fail,Blocked"</x:formula1>
    </x:dataValidation>
    <x:dataValidation type="list" sqref="E7:E62">
      <x:formula1>"Smoke,Functional,Validation,Negative,End-to-End,Integration,UI/UX,Navigation,Accessibility,Compatibility,Security,Recovery,Reliability,Calculation,Business Rule,Concurrency,Regression,Performance"</x:formula1>
    </x:dataValidation>
    <x:dataValidation type="list" sqref="F7:F62">
      <x:formula1>"P0-Critical,P1-High,P2-Medium,P3-Low"</x:formula1>
    </x:dataValidation>
    <x:dataValidation type="list" sqref="O7:O62">
      <x:formula1>",S1-Blocker,S2-Major,S3-Minor,S4-Cosmetic"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01f05c953349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9" t="str">
        <x:v>Planentrix — Web Admin Coverage</x:v>
      </x:c>
      <x:c r="B1" s="10" t="str">
        <x:v>Planentrix — Web Admin Coverage</x:v>
      </x:c>
      <x:c r="C1" s="10" t="str">
        <x:v>Planentrix — Web Admin Coverage</x:v>
      </x:c>
      <x:c r="D1" s="10" t="str">
        <x:v>Planentrix — Web Admin Coverage</x:v>
      </x:c>
      <x:c r="E1" s="10" t="str">
        <x:v>Planentrix — Web Admin Coverage</x:v>
      </x:c>
      <x:c r="F1" s="10" t="str">
        <x:v>Planentrix — Web Admin Coverage</x:v>
      </x:c>
      <x:c r="G1" s="10" t="str">
        <x:v>Planentrix — Web Admin Coverage</x:v>
      </x:c>
      <x:c r="H1" s="10" t="str">
        <x:v>Planentrix — Web Admin Coverage</x:v>
      </x:c>
      <x:c r="I1" s="10" t="str">
        <x:v>Planentrix — Web Admin Coverage</x:v>
      </x:c>
      <x:c r="J1" s="10" t="str">
        <x:v>Planentrix — Web Admin Coverage</x:v>
      </x:c>
      <x:c r="K1" s="11" t="str">
        <x:v>Planentrix — Web Admin Coverage</x:v>
      </x:c>
    </x:row>
    <x:row r="2" ht="24" customHeight="1">
      <x:c r="A2" s="15" t="str">
        <x:v>สรุป Coverage และผลการทดสอบเฉพาะเว็บส่วนแอดมิน อัปเดตอัตโนมัติจากชีต Test Cases</x:v>
      </x:c>
      <x:c r="B2" s="15" t="str">
        <x:v>สรุป Coverage และผลการทดสอบเฉพาะเว็บส่วนแอดมิน อัปเดตอัตโนมัติจากชีต Test Cases</x:v>
      </x:c>
      <x:c r="C2" s="15" t="str">
        <x:v>สรุป Coverage และผลการทดสอบเฉพาะเว็บส่วนแอดมิน อัปเดตอัตโนมัติจากชีต Test Cases</x:v>
      </x:c>
      <x:c r="D2" s="15" t="str">
        <x:v>สรุป Coverage และผลการทดสอบเฉพาะเว็บส่วนแอดมิน อัปเดตอัตโนมัติจากชีต Test Cases</x:v>
      </x:c>
      <x:c r="E2" s="15" t="str">
        <x:v>สรุป Coverage และผลการทดสอบเฉพาะเว็บส่วนแอดมิน อัปเดตอัตโนมัติจากชีต Test Cases</x:v>
      </x:c>
      <x:c r="F2" s="15" t="str">
        <x:v>สรุป Coverage และผลการทดสอบเฉพาะเว็บส่วนแอดมิน อัปเดตอัตโนมัติจากชีต Test Cases</x:v>
      </x:c>
      <x:c r="G2" s="15" t="str">
        <x:v>สรุป Coverage และผลการทดสอบเฉพาะเว็บส่วนแอดมิน อัปเดตอัตโนมัติจากชีต Test Cases</x:v>
      </x:c>
      <x:c r="H2" s="15" t="str">
        <x:v>สรุป Coverage และผลการทดสอบเฉพาะเว็บส่วนแอดมิน อัปเดตอัตโนมัติจากชีต Test Cases</x:v>
      </x:c>
      <x:c r="I2" s="15" t="str">
        <x:v>สรุป Coverage และผลการทดสอบเฉพาะเว็บส่วนแอดมิน อัปเดตอัตโนมัติจากชีต Test Cases</x:v>
      </x:c>
      <x:c r="J2" s="15" t="str">
        <x:v>สรุป Coverage และผลการทดสอบเฉพาะเว็บส่วนแอดมิน อัปเดตอัตโนมัติจากชีต Test Cases</x:v>
      </x:c>
      <x:c r="K2" s="15" t="str">
        <x:v>สรุป Coverage และผลการทดสอบเฉพาะเว็บส่วนแอดมิน อัปเดตอัตโนมัติจากชีต Test Cases</x:v>
      </x:c>
    </x:row>
    <x:row r="3">
      <x:c r="A3" s="111" t="str">
        <x:v>Test Cases ทั้งหมด</x:v>
      </x:c>
      <x:c r="B3" s="111" t="n">
        <x:f>COUNTA('Test Cases'!A7:A62)</x:f>
        <x:v>56</x:v>
      </x:c>
      <x:c r="C3" s="111" t="str">
        <x:v>Pass</x:v>
      </x:c>
      <x:c r="D3" s="111" t="n">
        <x:f>COUNTIF('Test Cases'!N7:N62,"Pass")</x:f>
        <x:v>1</x:v>
      </x:c>
      <x:c r="E3" s="111" t="str">
        <x:v>Fail</x:v>
      </x:c>
      <x:c r="F3" s="111" t="n">
        <x:f>COUNTIF('Test Cases'!N7:N62,"Fail")</x:f>
        <x:v>0</x:v>
      </x:c>
      <x:c r="G3" s="111" t="str">
        <x:v>Blocked</x:v>
      </x:c>
      <x:c r="H3" s="111" t="n">
        <x:f>COUNTIF('Test Cases'!N7:N62,"Blocked")</x:f>
        <x:v>0</x:v>
      </x:c>
      <x:c r="I3" s="111" t="str">
        <x:v>Not Run</x:v>
      </x:c>
      <x:c r="J3" s="111" t="n">
        <x:f>COUNTIF('Test Cases'!N7:N62,"Not Run")</x:f>
        <x:v>55</x:v>
      </x:c>
    </x:row>
    <x:row r="6">
      <x:c r="A6" s="41" t="str">
        <x:v>หน้า</x:v>
      </x:c>
      <x:c r="B6" s="41" t="str">
        <x:v>ทั้งหมด</x:v>
      </x:c>
      <x:c r="C6" s="41" t="str">
        <x:v>P0</x:v>
      </x:c>
      <x:c r="D6" s="41" t="str">
        <x:v>P1</x:v>
      </x:c>
      <x:c r="E6" s="41" t="str">
        <x:v>P2/P3</x:v>
      </x:c>
      <x:c r="F6" s="41" t="str">
        <x:v>Pass</x:v>
      </x:c>
      <x:c r="G6" s="41" t="str">
        <x:v>Fail/Blocked</x:v>
      </x:c>
      <x:c r="H6" s="41" t="str">
        <x:v>Pass Rate</x:v>
      </x:c>
      <x:c r="J6" s="41" t="str">
        <x:v>สถานะ</x:v>
      </x:c>
      <x:c r="K6" s="41" t="str">
        <x:v>จำนวน</x:v>
      </x:c>
    </x:row>
    <x:row r="7">
      <x:c r="A7" s="151" t="str">
        <x:v>Admin LogIn</x:v>
      </x:c>
      <x:c r="B7" s="151" t="n">
        <x:f>COUNTIFS('Test Cases'!$C$7:$C$62,$A7)</x:f>
        <x:v>6</x:v>
      </x:c>
      <x:c r="C7" s="151" t="n">
        <x:f>COUNTIFS('Test Cases'!$C$7:$C$62,$A7,'Test Cases'!$F$7:$F$62,"P0-Critical")</x:f>
        <x:v>5</x:v>
      </x:c>
      <x:c r="D7" s="151" t="n">
        <x:f>COUNTIFS('Test Cases'!$C$7:$C$62,$A7,'Test Cases'!$F$7:$F$62,"P1-High")</x:f>
        <x:v>1</x:v>
      </x:c>
      <x:c r="E7" s="151" t="n">
        <x:f>B7-C7-D7</x:f>
        <x:v>0</x:v>
      </x:c>
      <x:c r="F7" s="151" t="n">
        <x:f>COUNTIFS('Test Cases'!$C$7:$C$62,$A7,'Test Cases'!$N$7:$N$62,"Pass")</x:f>
        <x:v>1</x:v>
      </x:c>
      <x:c r="G7" s="151" t="n">
        <x:f>COUNTIFS('Test Cases'!$C$7:$C$62,$A7,'Test Cases'!$N$7:$N$62,"Fail")+COUNTIFS('Test Cases'!$C$7:$C$62,$A7,'Test Cases'!$N$7:$N$62,"Blocked")</x:f>
        <x:v>0</x:v>
      </x:c>
      <x:c r="H7" s="154" t="n">
        <x:f>IF(B7=0,0,F7/B7)</x:f>
        <x:v>0.16666666666666666</x:v>
      </x:c>
      <x:c r="J7" s="158" t="str">
        <x:v>Pass</x:v>
      </x:c>
      <x:c r="K7" s="158" t="n">
        <x:f>D3</x:f>
        <x:v>1</x:v>
      </x:c>
    </x:row>
    <x:row r="8">
      <x:c r="A8" s="152" t="str">
        <x:v>Admin Main</x:v>
      </x:c>
      <x:c r="B8" s="152" t="n">
        <x:f>COUNTIFS('Test Cases'!$C$7:$C$62,$A8)</x:f>
        <x:v>9</x:v>
      </x:c>
      <x:c r="C8" s="152" t="n">
        <x:f>COUNTIFS('Test Cases'!$C$7:$C$62,$A8,'Test Cases'!$F$7:$F$62,"P0-Critical")</x:f>
        <x:v>1</x:v>
      </x:c>
      <x:c r="D8" s="152" t="n">
        <x:f>COUNTIFS('Test Cases'!$C$7:$C$62,$A8,'Test Cases'!$F$7:$F$62,"P1-High")</x:f>
        <x:v>5</x:v>
      </x:c>
      <x:c r="E8" s="152" t="n">
        <x:f>B8-C8-D8</x:f>
        <x:v>3</x:v>
      </x:c>
      <x:c r="F8" s="152" t="n">
        <x:f>COUNTIFS('Test Cases'!$C$7:$C$62,$A8,'Test Cases'!$N$7:$N$62,"Pass")</x:f>
        <x:v>0</x:v>
      </x:c>
      <x:c r="G8" s="152" t="n">
        <x:f>COUNTIFS('Test Cases'!$C$7:$C$62,$A8,'Test Cases'!$N$7:$N$62,"Fail")+COUNTIFS('Test Cases'!$C$7:$C$62,$A8,'Test Cases'!$N$7:$N$62,"Blocked")</x:f>
        <x:v>0</x:v>
      </x:c>
      <x:c r="H8" s="155" t="n">
        <x:f>IF(B8=0,0,F8/B8)</x:f>
        <x:v>0</x:v>
      </x:c>
      <x:c r="J8" s="158" t="str">
        <x:v>Fail</x:v>
      </x:c>
      <x:c r="K8" s="158" t="n">
        <x:f>F3</x:f>
        <x:v>0</x:v>
      </x:c>
    </x:row>
    <x:row r="9">
      <x:c r="A9" s="152" t="str">
        <x:v>Manage Users</x:v>
      </x:c>
      <x:c r="B9" s="152" t="n">
        <x:f>COUNTIFS('Test Cases'!$C$7:$C$62,$A9)</x:f>
        <x:v>9</x:v>
      </x:c>
      <x:c r="C9" s="152" t="n">
        <x:f>COUNTIFS('Test Cases'!$C$7:$C$62,$A9,'Test Cases'!$F$7:$F$62,"P0-Critical")</x:f>
        <x:v>5</x:v>
      </x:c>
      <x:c r="D9" s="152" t="n">
        <x:f>COUNTIFS('Test Cases'!$C$7:$C$62,$A9,'Test Cases'!$F$7:$F$62,"P1-High")</x:f>
        <x:v>2</x:v>
      </x:c>
      <x:c r="E9" s="152" t="n">
        <x:f>B9-C9-D9</x:f>
        <x:v>2</x:v>
      </x:c>
      <x:c r="F9" s="152" t="n">
        <x:f>COUNTIFS('Test Cases'!$C$7:$C$62,$A9,'Test Cases'!$N$7:$N$62,"Pass")</x:f>
        <x:v>0</x:v>
      </x:c>
      <x:c r="G9" s="152" t="n">
        <x:f>COUNTIFS('Test Cases'!$C$7:$C$62,$A9,'Test Cases'!$N$7:$N$62,"Fail")+COUNTIFS('Test Cases'!$C$7:$C$62,$A9,'Test Cases'!$N$7:$N$62,"Blocked")</x:f>
        <x:v>0</x:v>
      </x:c>
      <x:c r="H9" s="155" t="n">
        <x:f>IF(B9=0,0,F9/B9)</x:f>
        <x:v>0</x:v>
      </x:c>
      <x:c r="J9" s="158" t="str">
        <x:v>Blocked</x:v>
      </x:c>
      <x:c r="K9" s="158" t="n">
        <x:f>H3</x:f>
        <x:v>0</x:v>
      </x:c>
    </x:row>
    <x:row r="10">
      <x:c r="A10" s="152" t="str">
        <x:v>Subject Type</x:v>
      </x:c>
      <x:c r="B10" s="152" t="n">
        <x:f>COUNTIFS('Test Cases'!$C$7:$C$62,$A10)</x:f>
        <x:v>8</x:v>
      </x:c>
      <x:c r="C10" s="152" t="n">
        <x:f>COUNTIFS('Test Cases'!$C$7:$C$62,$A10,'Test Cases'!$F$7:$F$62,"P0-Critical")</x:f>
        <x:v>5</x:v>
      </x:c>
      <x:c r="D10" s="152" t="n">
        <x:f>COUNTIFS('Test Cases'!$C$7:$C$62,$A10,'Test Cases'!$F$7:$F$62,"P1-High")</x:f>
        <x:v>1</x:v>
      </x:c>
      <x:c r="E10" s="152" t="n">
        <x:f>B10-C10-D10</x:f>
        <x:v>2</x:v>
      </x:c>
      <x:c r="F10" s="152" t="n">
        <x:f>COUNTIFS('Test Cases'!$C$7:$C$62,$A10,'Test Cases'!$N$7:$N$62,"Pass")</x:f>
        <x:v>0</x:v>
      </x:c>
      <x:c r="G10" s="152" t="n">
        <x:f>COUNTIFS('Test Cases'!$C$7:$C$62,$A10,'Test Cases'!$N$7:$N$62,"Fail")+COUNTIFS('Test Cases'!$C$7:$C$62,$A10,'Test Cases'!$N$7:$N$62,"Blocked")</x:f>
        <x:v>0</x:v>
      </x:c>
      <x:c r="H10" s="155" t="n">
        <x:f>IF(B10=0,0,F10/B10)</x:f>
        <x:v>0</x:v>
      </x:c>
      <x:c r="J10" s="158" t="str">
        <x:v>Not Run</x:v>
      </x:c>
      <x:c r="K10" s="158" t="n">
        <x:f>J3</x:f>
        <x:v>55</x:v>
      </x:c>
    </x:row>
    <x:row r="11">
      <x:c r="A11" s="152" t="str">
        <x:v>Subject</x:v>
      </x:c>
      <x:c r="B11" s="152" t="n">
        <x:f>COUNTIFS('Test Cases'!$C$7:$C$62,$A11)</x:f>
        <x:v>9</x:v>
      </x:c>
      <x:c r="C11" s="152" t="n">
        <x:f>COUNTIFS('Test Cases'!$C$7:$C$62,$A11,'Test Cases'!$F$7:$F$62,"P0-Critical")</x:f>
        <x:v>6</x:v>
      </x:c>
      <x:c r="D11" s="152" t="n">
        <x:f>COUNTIFS('Test Cases'!$C$7:$C$62,$A11,'Test Cases'!$F$7:$F$62,"P1-High")</x:f>
        <x:v>2</x:v>
      </x:c>
      <x:c r="E11" s="152" t="n">
        <x:f>B11-C11-D11</x:f>
        <x:v>1</x:v>
      </x:c>
      <x:c r="F11" s="152" t="n">
        <x:f>COUNTIFS('Test Cases'!$C$7:$C$62,$A11,'Test Cases'!$N$7:$N$62,"Pass")</x:f>
        <x:v>0</x:v>
      </x:c>
      <x:c r="G11" s="152" t="n">
        <x:f>COUNTIFS('Test Cases'!$C$7:$C$62,$A11,'Test Cases'!$N$7:$N$62,"Fail")+COUNTIFS('Test Cases'!$C$7:$C$62,$A11,'Test Cases'!$N$7:$N$62,"Blocked")</x:f>
        <x:v>0</x:v>
      </x:c>
      <x:c r="H11" s="155" t="n">
        <x:f>IF(B11=0,0,F11/B11)</x:f>
        <x:v>0</x:v>
      </x:c>
    </x:row>
    <x:row r="12">
      <x:c r="A12" s="153" t="str">
        <x:v>Exam</x:v>
      </x:c>
      <x:c r="B12" s="153" t="n">
        <x:f>COUNTIFS('Test Cases'!$C$7:$C$62,$A12)</x:f>
        <x:v>15</x:v>
      </x:c>
      <x:c r="C12" s="153" t="n">
        <x:f>COUNTIFS('Test Cases'!$C$7:$C$62,$A12,'Test Cases'!$F$7:$F$62,"P0-Critical")</x:f>
        <x:v>13</x:v>
      </x:c>
      <x:c r="D12" s="153" t="n">
        <x:f>COUNTIFS('Test Cases'!$C$7:$C$62,$A12,'Test Cases'!$F$7:$F$62,"P1-High")</x:f>
        <x:v>1</x:v>
      </x:c>
      <x:c r="E12" s="153" t="n">
        <x:f>B12-C12-D12</x:f>
        <x:v>1</x:v>
      </x:c>
      <x:c r="F12" s="153" t="n">
        <x:f>COUNTIFS('Test Cases'!$C$7:$C$62,$A12,'Test Cases'!$N$7:$N$62,"Pass")</x:f>
        <x:v>0</x:v>
      </x:c>
      <x:c r="G12" s="153" t="n">
        <x:f>COUNTIFS('Test Cases'!$C$7:$C$62,$A12,'Test Cases'!$N$7:$N$62,"Fail")+COUNTIFS('Test Cases'!$C$7:$C$62,$A12,'Test Cases'!$N$7:$N$62,"Blocked")</x:f>
        <x:v>0</x:v>
      </x:c>
      <x:c r="H12" s="156" t="n">
        <x:f>IF(B12=0,0,F12/B12)</x:f>
        <x:v>0</x:v>
      </x:c>
    </x:row>
  </x:sheetData>
  <x:mergeCells>
    <x:mergeCell ref="A1:K1"/>
    <x:mergeCell ref="A2:K2"/>
  </x:mergeCells>
  <x:conditionalFormatting sqref="H7:H12">
    <x:cfRule type="colorScale" priority="1">
      <x:colorScale>
        <x:cfvo type="min"/>
        <x:cfvo type="percentile" val="50"/>
        <x:cfvo type="max"/>
        <x:color rgb="FFFFD7DC"/>
        <x:color rgb="FFFFE6A3"/>
        <x:color rgb="FFCBE8A9"/>
      </x:colorScale>
    </x:cfRule>
  </x:conditionalFormatting>
  <x:pageMargins left="0.7" right="0.7" top="0.75" bottom="0.75" header="0.3" footer="0.3"/>
  <x:drawing xmlns:r="http://schemas.openxmlformats.org/officeDocument/2006/relationships" r:id="Re022b4ef06b74d8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2" hidden="0" customWidth="1"/>
    <x:col min="5" max="5" width="22" hidden="0" customWidth="1"/>
    <x:col min="6" max="6" width="24" hidden="0" customWidth="1"/>
    <x:col min="7" max="7" width="30" hidden="0" customWidth="1"/>
    <x:col min="8" max="8" width="18" hidden="0" customWidth="1"/>
  </x:cols>
  <x:sheetData>
    <x:row r="1" ht="34" customHeight="1">
      <x:c r="A1" s="9" t="str">
        <x:v>Planentrix — Web Admin Test Data</x:v>
      </x:c>
      <x:c r="B1" s="10" t="str">
        <x:v>Planentrix — Web Admin Test Data</x:v>
      </x:c>
      <x:c r="C1" s="10" t="str">
        <x:v>Planentrix — Web Admin Test Data</x:v>
      </x:c>
      <x:c r="D1" s="10" t="str">
        <x:v>Planentrix — Web Admin Test Data</x:v>
      </x:c>
      <x:c r="E1" s="10" t="str">
        <x:v>Planentrix — Web Admin Test Data</x:v>
      </x:c>
      <x:c r="F1" s="10" t="str">
        <x:v>Planentrix — Web Admin Test Data</x:v>
      </x:c>
      <x:c r="G1" s="10" t="str">
        <x:v>Planentrix — Web Admin Test Data</x:v>
      </x:c>
      <x:c r="H1" s="11" t="str">
        <x:v>Planentrix — Web Admin Test Data</x:v>
      </x:c>
    </x:row>
    <x:row r="2" ht="24" customHeight="1">
      <x:c r="A2" s="15" t="str">
        <x:v>ข้อมูลจำลองและ Business Rules สำหรับทดสอบเฉพาะเว็บส่วนแอดมิน ห้ามใช้ข้อมูลจริง</x:v>
      </x:c>
      <x:c r="B2" s="15" t="str">
        <x:v>ข้อมูลจำลองและ Business Rules สำหรับทดสอบเฉพาะเว็บส่วนแอดมิน ห้ามใช้ข้อมูลจริง</x:v>
      </x:c>
      <x:c r="C2" s="15" t="str">
        <x:v>ข้อมูลจำลองและ Business Rules สำหรับทดสอบเฉพาะเว็บส่วนแอดมิน ห้ามใช้ข้อมูลจริง</x:v>
      </x:c>
      <x:c r="D2" s="15" t="str">
        <x:v>ข้อมูลจำลองและ Business Rules สำหรับทดสอบเฉพาะเว็บส่วนแอดมิน ห้ามใช้ข้อมูลจริง</x:v>
      </x:c>
      <x:c r="E2" s="15" t="str">
        <x:v>ข้อมูลจำลองและ Business Rules สำหรับทดสอบเฉพาะเว็บส่วนแอดมิน ห้ามใช้ข้อมูลจริง</x:v>
      </x:c>
      <x:c r="F2" s="15" t="str">
        <x:v>ข้อมูลจำลองและ Business Rules สำหรับทดสอบเฉพาะเว็บส่วนแอดมิน ห้ามใช้ข้อมูลจริง</x:v>
      </x:c>
      <x:c r="G2" s="15" t="str">
        <x:v>ข้อมูลจำลองและ Business Rules สำหรับทดสอบเฉพาะเว็บส่วนแอดมิน ห้ามใช้ข้อมูลจริง</x:v>
      </x:c>
      <x:c r="H2" s="15" t="str">
        <x:v>ข้อมูลจำลองและ Business Rules สำหรับทดสอบเฉพาะเว็บส่วนแอดมิน ห้ามใช้ข้อมูลจริง</x:v>
      </x:c>
    </x:row>
    <x:row r="4" ht="25" customHeight="1">
      <x:c r="A4" s="35" t="str">
        <x:v>บัญชีทดสอบ</x:v>
      </x:c>
      <x:c r="B4" s="35" t="str">
        <x:v>บัญชีทดสอบ</x:v>
      </x:c>
      <x:c r="C4" s="35" t="str">
        <x:v>บัญชีทดสอบ</x:v>
      </x:c>
      <x:c r="D4" s="35" t="str">
        <x:v>บัญชีทดสอบ</x:v>
      </x:c>
      <x:c r="E4" s="35" t="str">
        <x:v>บัญชีทดสอบ</x:v>
      </x:c>
      <x:c r="F4" s="35" t="str">
        <x:v>บัญชีทดสอบ</x:v>
      </x:c>
      <x:c r="G4" s="35" t="str">
        <x:v>บัญชีทดสอบ</x:v>
      </x:c>
      <x:c r="H4" s="35" t="str">
        <x:v>บัญชีทดสอบ</x:v>
      </x:c>
    </x:row>
    <x:row r="5">
      <x:c r="A5" s="94" t="str">
        <x:v>Data ID</x:v>
      </x:c>
      <x:c r="B5" s="94" t="str">
        <x:v>Role</x:v>
      </x:c>
      <x:c r="C5" s="94" t="str">
        <x:v>Username</x:v>
      </x:c>
      <x:c r="D5" s="94" t="str">
        <x:v>Password</x:v>
      </x:c>
      <x:c r="E5" s="94" t="str">
        <x:v>State</x:v>
      </x:c>
      <x:c r="F5" s="94" t="str">
        <x:v>ข้อมูลประกอบ</x:v>
      </x:c>
      <x:c r="G5" s="94" t="str">
        <x:v>หมายเหตุ</x:v>
      </x:c>
      <x:c r="H5" s="97"/>
    </x:row>
    <x:row r="6">
      <x:c r="A6" s="95" t="str">
        <x:v>ADMIN_VALID</x:v>
      </x:c>
      <x:c r="B6" s="96" t="str">
        <x:v>Admin</x:v>
      </x:c>
      <x:c r="C6" s="96" t="str">
        <x:v>qa_admin_01</x:v>
      </x:c>
      <x:c r="D6" s="96" t="str">
        <x:v>Qa@123456</x:v>
      </x:c>
      <x:c r="E6" s="96" t="str">
        <x:v>Active</x:v>
      </x:c>
      <x:c r="F6" s="96" t="str">
        <x:v>สิทธิ์ Admin</x:v>
      </x:c>
      <x:c r="G6" s="96" t="str">
        <x:v>บัญชีจำลอง</x:v>
      </x:c>
      <x:c r="H6" s="97"/>
    </x:row>
    <x:row r="7">
      <x:c r="A7" s="95" t="str">
        <x:v>ADMIN_EXPIRED</x:v>
      </x:c>
      <x:c r="B7" s="96" t="str">
        <x:v>Admin</x:v>
      </x:c>
      <x:c r="C7" s="96" t="str">
        <x:v>qa_admin_02</x:v>
      </x:c>
      <x:c r="D7" s="96" t="str">
        <x:v>Qa@123456</x:v>
      </x:c>
      <x:c r="E7" s="96" t="str">
        <x:v>Expired session</x:v>
      </x:c>
      <x:c r="F7" s="96" t="str">
        <x:v>Token หมดอายุ</x:v>
      </x:c>
      <x:c r="G7" s="96" t="str">
        <x:v>ทดสอบ Auth guard</x:v>
      </x:c>
      <x:c r="H7" s="97"/>
    </x:row>
    <x:row r="8">
      <x:c r="A8" s="95" t="str">
        <x:v>USER_VALID</x:v>
      </x:c>
      <x:c r="B8" s="96" t="str">
        <x:v>User</x:v>
      </x:c>
      <x:c r="C8" s="96" t="str">
        <x:v>qa_user_01</x:v>
      </x:c>
      <x:c r="D8" s="96" t="str">
        <x:v>Qa@123456</x:v>
      </x:c>
      <x:c r="E8" s="96" t="str">
        <x:v>Active</x:v>
      </x:c>
      <x:c r="F8" s="96" t="str">
        <x:v>ไม่มีสิทธิ์ Admin</x:v>
      </x:c>
      <x:c r="G8" s="96" t="str">
        <x:v>ต้องเข้า Admin ไม่ได้</x:v>
      </x:c>
      <x:c r="H8" s="97"/>
    </x:row>
    <x:row r="9">
      <x:c r="A9" s="95" t="str">
        <x:v>NO_TOKEN</x:v>
      </x:c>
      <x:c r="B9" s="96" t="str">
        <x:v>-</x:v>
      </x:c>
      <x:c r="C9" s="96" t="str">
        <x:v>-</x:v>
      </x:c>
      <x:c r="D9" s="96" t="str">
        <x:v>-</x:v>
      </x:c>
      <x:c r="E9" s="96" t="str">
        <x:v>ไม่มี session</x:v>
      </x:c>
      <x:c r="F9" s="96" t="str">
        <x:v>ไม่มี token</x:v>
      </x:c>
      <x:c r="G9" s="96" t="str">
        <x:v>ล้าง cookie/storage</x:v>
      </x:c>
      <x:c r="H9" s="97"/>
    </x:row>
    <x:row r="10">
      <x:c r="A10" s="95"/>
      <x:c r="B10" s="96"/>
      <x:c r="C10" s="96"/>
      <x:c r="D10" s="96"/>
      <x:c r="E10" s="96"/>
      <x:c r="F10" s="96"/>
      <x:c r="G10" s="96"/>
      <x:c r="H10" s="97"/>
    </x:row>
    <x:row r="11" ht="25" customHeight="1">
      <x:c r="A11" s="98" t="str">
        <x:v>Business States</x:v>
      </x:c>
      <x:c r="B11" s="99" t="str">
        <x:v>Business States</x:v>
      </x:c>
      <x:c r="C11" s="99" t="str">
        <x:v>Business States</x:v>
      </x:c>
      <x:c r="D11" s="99" t="str">
        <x:v>Business States</x:v>
      </x:c>
      <x:c r="E11" s="99" t="str">
        <x:v>Business States</x:v>
      </x:c>
      <x:c r="F11" s="99" t="str">
        <x:v>Business States</x:v>
      </x:c>
      <x:c r="G11" s="99" t="str">
        <x:v>Business States</x:v>
      </x:c>
      <x:c r="H11" s="100" t="str">
        <x:v>Business States</x:v>
      </x:c>
    </x:row>
    <x:row r="12">
      <x:c r="A12" s="94" t="str">
        <x:v>Data ID</x:v>
      </x:c>
      <x:c r="B12" s="94" t="str">
        <x:v>สถานะ</x:v>
      </x:c>
      <x:c r="C12" s="94" t="str">
        <x:v>ผลที่คาดหวัง/วัตถุประสงค์</x:v>
      </x:c>
      <x:c r="D12" s="96"/>
      <x:c r="E12" s="96"/>
      <x:c r="F12" s="96"/>
      <x:c r="G12" s="96"/>
      <x:c r="H12" s="97"/>
    </x:row>
    <x:row r="13">
      <x:c r="A13" s="95" t="str">
        <x:v>ADMIN_DASHBOARD</x:v>
      </x:c>
      <x:c r="B13" s="96" t="str">
        <x:v>มีข้อมูลสถิติครบ</x:v>
      </x:c>
      <x:c r="C13" s="96" t="str">
        <x:v>ตรวจทุก metric และ partial API failure</x:v>
      </x:c>
      <x:c r="D13" s="96"/>
      <x:c r="E13" s="96"/>
      <x:c r="F13" s="96"/>
      <x:c r="G13" s="96"/>
      <x:c r="H13" s="97"/>
    </x:row>
    <x:row r="14">
      <x:c r="A14" s="95" t="str">
        <x:v>USER_MIXED_STATUS</x:v>
      </x:c>
      <x:c r="B14" s="96" t="str">
        <x:v>ผู้ใช้ Active/Inactive หลายรายการ</x:v>
      </x:c>
      <x:c r="C14" s="96" t="str">
        <x:v>ค้นหา กรอง แก้ไข ลบ</x:v>
      </x:c>
      <x:c r="D14" s="96"/>
      <x:c r="E14" s="96"/>
      <x:c r="F14" s="96"/>
      <x:c r="G14" s="96"/>
      <x:c r="H14" s="97"/>
    </x:row>
    <x:row r="15">
      <x:c r="A15" s="95" t="str">
        <x:v>TYPE_IN_USE</x:v>
      </x:c>
      <x:c r="B15" s="96" t="str">
        <x:v>Subject Type มี Subject อ้างอิง</x:v>
      </x:c>
      <x:c r="C15" s="96" t="str">
        <x:v>ต้องป้องกันข้อมูลกำพร้า</x:v>
      </x:c>
      <x:c r="D15" s="96"/>
      <x:c r="E15" s="96"/>
      <x:c r="F15" s="96"/>
      <x:c r="G15" s="96"/>
      <x:c r="H15" s="97"/>
    </x:row>
    <x:row r="16">
      <x:c r="A16" s="95" t="str">
        <x:v>SUBJECT_IN_USE</x:v>
      </x:c>
      <x:c r="B16" s="96" t="str">
        <x:v>Subject ถูกใช้ใน Schedule/Exam</x:v>
      </x:c>
      <x:c r="C16" s="96" t="str">
        <x:v>Deactivate แล้วประวัติเดิมยังอ่านได้</x:v>
      </x:c>
      <x:c r="D16" s="96"/>
      <x:c r="E16" s="96"/>
      <x:c r="F16" s="96"/>
      <x:c r="G16" s="96"/>
      <x:c r="H16" s="97"/>
    </x:row>
    <x:row r="17">
      <x:c r="A17" s="95" t="str">
        <x:v>EXAM_BI_10Q</x:v>
      </x:c>
      <x:c r="B17" s="96" t="str">
        <x:v>Exam มี Part/Question/Choice</x:v>
      </x:c>
      <x:c r="C17" s="96" t="str">
        <x:v>ตรวจ hierarchy CRUD คะแนนรวมและการเผยแพร่</x:v>
      </x:c>
      <x:c r="D17" s="96"/>
      <x:c r="E17" s="96"/>
      <x:c r="F17" s="96"/>
      <x:c r="G17" s="96"/>
      <x:c r="H17" s="97"/>
    </x:row>
    <x:row r="18">
      <x:c r="A18" s="95"/>
      <x:c r="B18" s="96"/>
      <x:c r="C18" s="96"/>
      <x:c r="D18" s="96"/>
      <x:c r="E18" s="96"/>
      <x:c r="F18" s="96"/>
      <x:c r="G18" s="96"/>
      <x:c r="H18" s="97"/>
    </x:row>
    <x:row r="19" ht="25" customHeight="1">
      <x:c r="A19" s="101" t="str">
        <x:v>Business Rules สำคัญ</x:v>
      </x:c>
      <x:c r="B19" s="102" t="str">
        <x:v>Business Rules สำคัญ</x:v>
      </x:c>
      <x:c r="C19" s="102" t="str">
        <x:v>Business Rules สำคัญ</x:v>
      </x:c>
      <x:c r="D19" s="102" t="str">
        <x:v>Business Rules สำคัญ</x:v>
      </x:c>
      <x:c r="E19" s="102" t="str">
        <x:v>Business Rules สำคัญ</x:v>
      </x:c>
      <x:c r="F19" s="102" t="str">
        <x:v>Business Rules สำคัญ</x:v>
      </x:c>
      <x:c r="G19" s="102" t="str">
        <x:v>Business Rules สำคัญ</x:v>
      </x:c>
      <x:c r="H19" s="103" t="str">
        <x:v>Business Rules สำคัญ</x:v>
      </x:c>
    </x:row>
    <x:row r="20">
      <x:c r="A20" s="94" t="str">
        <x:v>Rule ID</x:v>
      </x:c>
      <x:c r="B20" s="94" t="str">
        <x:v>หัวข้อ</x:v>
      </x:c>
      <x:c r="C20" s="94" t="str">
        <x:v>กติกา</x:v>
      </x:c>
      <x:c r="D20" s="94" t="str">
        <x:v>Boundary 1</x:v>
      </x:c>
      <x:c r="E20" s="94" t="str">
        <x:v>Boundary 2</x:v>
      </x:c>
      <x:c r="F20" s="94" t="str">
        <x:v>Boundary 3</x:v>
      </x:c>
      <x:c r="G20" s="94" t="str">
        <x:v>Priority</x:v>
      </x:c>
      <x:c r="H20" s="97"/>
    </x:row>
    <x:row r="21">
      <x:c r="A21" s="95" t="str">
        <x:v>RULE-ROLE</x:v>
      </x:c>
      <x:c r="B21" s="96" t="str">
        <x:v>Authorization</x:v>
      </x:c>
      <x:c r="C21" s="96" t="str">
        <x:v>เฉพาะ role Admin เข้าหน้าและเรียก Admin API ได้</x:v>
      </x:c>
      <x:c r="D21" s="96" t="str">
        <x:v>Admin allow</x:v>
      </x:c>
      <x:c r="E21" s="96" t="str">
        <x:v>User deny</x:v>
      </x:c>
      <x:c r="F21" s="96" t="str">
        <x:v>No token deny</x:v>
      </x:c>
      <x:c r="G21" s="96" t="str">
        <x:v>P0</x:v>
      </x:c>
      <x:c r="H21" s="97"/>
    </x:row>
    <x:row r="22">
      <x:c r="A22" s="95" t="str">
        <x:v>RULE-REFERENCE</x:v>
      </x:c>
      <x:c r="B22" s="96" t="str">
        <x:v>Referential integrity</x:v>
      </x:c>
      <x:c r="C22" s="96" t="str">
        <x:v>ห้ามลบ Subject Type/Subject/Exam content แล้วทำให้ข้อมูลอ้างอิงกำพร้า</x:v>
      </x:c>
      <x:c r="D22" s="96" t="str">
        <x:v>Unused delete</x:v>
      </x:c>
      <x:c r="E22" s="96" t="str">
        <x:v>In-use block</x:v>
      </x:c>
      <x:c r="F22" s="96" t="str">
        <x:v>History readable</x:v>
      </x:c>
      <x:c r="G22" s="96" t="str">
        <x:v>P0</x:v>
      </x:c>
      <x:c r="H22" s="97"/>
    </x:row>
    <x:row r="23">
      <x:c r="A23" s="95" t="str">
        <x:v>RULE-EXAM-SCORE</x:v>
      </x:c>
      <x:c r="B23" s="96" t="str">
        <x:v>Exam score</x:v>
      </x:c>
      <x:c r="C23" s="96" t="str">
        <x:v>คะแนน Part มาจาก exam_part.part_score และเปอร์เซ็นต์คำนวณใน Backend</x:v>
      </x:c>
      <x:c r="D23" s="96" t="str">
        <x:v>Part total</x:v>
      </x:c>
      <x:c r="E23" s="96" t="str">
        <x:v>Question total</x:v>
      </x:c>
      <x:c r="F23" s="96" t="str">
        <x:v>Percentage</x:v>
      </x:c>
      <x:c r="G23" s="96" t="str">
        <x:v>P0</x:v>
      </x:c>
      <x:c r="H23" s="97"/>
    </x:row>
    <x:row r="24">
      <x:c r="A24" s="95" t="str">
        <x:v>RULE-PUBLISH</x:v>
      </x:c>
      <x:c r="B24" s="96" t="str">
        <x:v>Publish exam</x:v>
      </x:c>
      <x:c r="C24" s="96" t="str">
        <x:v>ผู้ใช้เห็นเฉพาะข้อสอบเนื้อหาครบ สถานะพร้อม และถึง checkpoint</x:v>
      </x:c>
      <x:c r="D24" s="96" t="str">
        <x:v>Draft hidden</x:v>
      </x:c>
      <x:c r="E24" s="96" t="str">
        <x:v>Published</x:v>
      </x:c>
      <x:c r="F24" s="96" t="str">
        <x:v>Due checkpoint</x:v>
      </x:c>
      <x:c r="G24" s="96" t="str">
        <x:v>P0</x:v>
      </x:c>
      <x:c r="H24" s="97"/>
    </x:row>
    <x:row r="25">
      <x:c r="A25" s="95" t="str">
        <x:v>RULE-DASHBOARD</x:v>
      </x:c>
      <x:c r="B25" s="96" t="str">
        <x:v>Dashboard</x:v>
      </x:c>
      <x:c r="C25" s="96" t="str">
        <x:v>Metric ต้องตรงข้อมูลต้นทาง และ partial API failure ไม่ทำให้ทั้งหน้าพัง</x:v>
      </x:c>
      <x:c r="D25" s="96" t="str">
        <x:v>Empty</x:v>
      </x:c>
      <x:c r="E25" s="96" t="str">
        <x:v>Normal</x:v>
      </x:c>
      <x:c r="F25" s="96" t="str">
        <x:v>One API 500</x:v>
      </x:c>
      <x:c r="G25" s="96" t="str">
        <x:v>P1</x:v>
      </x:c>
      <x:c r="H25" s="97"/>
    </x:row>
    <x:row r="26">
      <x:c r="A26" s="95"/>
      <x:c r="B26" s="96"/>
      <x:c r="C26" s="96"/>
      <x:c r="D26" s="96"/>
      <x:c r="E26" s="96"/>
      <x:c r="F26" s="96"/>
      <x:c r="G26" s="96"/>
      <x:c r="H26" s="97"/>
    </x:row>
    <x:row r="27" ht="25" customHeight="1">
      <x:c r="A27" s="104" t="str">
        <x:v>รายการสำหรับกรอกผล</x:v>
      </x:c>
      <x:c r="B27" s="105" t="str">
        <x:v>รายการสำหรับกรอกผล</x:v>
      </x:c>
      <x:c r="C27" s="105" t="str">
        <x:v>รายการสำหรับกรอกผล</x:v>
      </x:c>
      <x:c r="D27" s="105" t="str">
        <x:v>รายการสำหรับกรอกผล</x:v>
      </x:c>
      <x:c r="E27" s="105" t="str">
        <x:v>รายการสำหรับกรอกผล</x:v>
      </x:c>
      <x:c r="F27" s="105" t="str">
        <x:v>รายการสำหรับกรอกผล</x:v>
      </x:c>
      <x:c r="G27" s="105" t="str">
        <x:v>รายการสำหรับกรอกผล</x:v>
      </x:c>
      <x:c r="H27" s="106" t="str">
        <x:v>รายการสำหรับกรอกผล</x:v>
      </x:c>
    </x:row>
    <x:row r="28">
      <x:c r="A28" s="94" t="str">
        <x:v>Status</x:v>
      </x:c>
      <x:c r="B28" s="94" t="str">
        <x:v>Priority</x:v>
      </x:c>
      <x:c r="C28" s="94" t="str">
        <x:v>Severity</x:v>
      </x:c>
      <x:c r="D28" s="94" t="str">
        <x:v>Test Type</x:v>
      </x:c>
      <x:c r="E28" s="96"/>
      <x:c r="F28" s="96"/>
      <x:c r="G28" s="96"/>
      <x:c r="H28" s="97"/>
    </x:row>
    <x:row r="29">
      <x:c r="A29" s="95" t="str">
        <x:v>Not Run</x:v>
      </x:c>
      <x:c r="B29" s="96" t="str">
        <x:v>P0-Critical</x:v>
      </x:c>
      <x:c r="C29" s="96" t="str">
        <x:v>S1-Blocker</x:v>
      </x:c>
      <x:c r="D29" s="96" t="str">
        <x:v>Smoke</x:v>
      </x:c>
      <x:c r="E29" s="96"/>
      <x:c r="F29" s="96"/>
      <x:c r="G29" s="96"/>
      <x:c r="H29" s="97"/>
    </x:row>
    <x:row r="30">
      <x:c r="A30" s="95" t="str">
        <x:v>Pass</x:v>
      </x:c>
      <x:c r="B30" s="96" t="str">
        <x:v>P1-High</x:v>
      </x:c>
      <x:c r="C30" s="96" t="str">
        <x:v>S2-Major</x:v>
      </x:c>
      <x:c r="D30" s="96" t="str">
        <x:v>Functional</x:v>
      </x:c>
      <x:c r="E30" s="96"/>
      <x:c r="F30" s="96"/>
      <x:c r="G30" s="96"/>
      <x:c r="H30" s="97"/>
    </x:row>
    <x:row r="31">
      <x:c r="A31" s="95" t="str">
        <x:v>Fail</x:v>
      </x:c>
      <x:c r="B31" s="96" t="str">
        <x:v>P2-Medium</x:v>
      </x:c>
      <x:c r="C31" s="96" t="str">
        <x:v>S3-Minor</x:v>
      </x:c>
      <x:c r="D31" s="96" t="str">
        <x:v>Validation</x:v>
      </x:c>
      <x:c r="E31" s="96"/>
      <x:c r="F31" s="96"/>
      <x:c r="G31" s="96"/>
      <x:c r="H31" s="97"/>
    </x:row>
    <x:row r="32">
      <x:c r="A32" s="95" t="str">
        <x:v>Blocked</x:v>
      </x:c>
      <x:c r="B32" s="96" t="str">
        <x:v>P3-Low</x:v>
      </x:c>
      <x:c r="C32" s="96" t="str">
        <x:v>S4-Cosmetic</x:v>
      </x:c>
      <x:c r="D32" s="96" t="str">
        <x:v>Negative</x:v>
      </x:c>
      <x:c r="E32" s="96"/>
      <x:c r="F32" s="96"/>
      <x:c r="G32" s="96"/>
      <x:c r="H32" s="97"/>
    </x:row>
    <x:row r="33">
      <x:c r="A33" s="95"/>
      <x:c r="B33" s="96"/>
      <x:c r="C33" s="96"/>
      <x:c r="D33" s="96" t="str">
        <x:v>End-to-End</x:v>
      </x:c>
      <x:c r="E33" s="96"/>
      <x:c r="F33" s="96"/>
      <x:c r="G33" s="96"/>
      <x:c r="H33" s="97"/>
    </x:row>
    <x:row r="34">
      <x:c r="A34" s="95"/>
      <x:c r="B34" s="96"/>
      <x:c r="C34" s="96"/>
      <x:c r="D34" s="96" t="str">
        <x:v>Integration</x:v>
      </x:c>
      <x:c r="E34" s="96"/>
      <x:c r="F34" s="96"/>
      <x:c r="G34" s="96"/>
      <x:c r="H34" s="97"/>
    </x:row>
    <x:row r="35">
      <x:c r="A35" s="95"/>
      <x:c r="B35" s="96"/>
      <x:c r="C35" s="96"/>
      <x:c r="D35" s="96" t="str">
        <x:v>UI/UX</x:v>
      </x:c>
      <x:c r="E35" s="96"/>
      <x:c r="F35" s="96"/>
      <x:c r="G35" s="96"/>
      <x:c r="H35" s="97"/>
    </x:row>
    <x:row r="36">
      <x:c r="A36" s="95"/>
      <x:c r="B36" s="96"/>
      <x:c r="C36" s="96"/>
      <x:c r="D36" s="96" t="str">
        <x:v>Navigation</x:v>
      </x:c>
      <x:c r="E36" s="96"/>
      <x:c r="F36" s="96"/>
      <x:c r="G36" s="96"/>
      <x:c r="H36" s="97"/>
    </x:row>
    <x:row r="37">
      <x:c r="A37" s="95"/>
      <x:c r="B37" s="96"/>
      <x:c r="C37" s="96"/>
      <x:c r="D37" s="96" t="str">
        <x:v>Accessibility</x:v>
      </x:c>
      <x:c r="E37" s="96"/>
      <x:c r="F37" s="96"/>
      <x:c r="G37" s="96"/>
      <x:c r="H37" s="97"/>
    </x:row>
    <x:row r="38">
      <x:c r="A38" s="95"/>
      <x:c r="B38" s="96"/>
      <x:c r="C38" s="96"/>
      <x:c r="D38" s="96" t="str">
        <x:v>Compatibility</x:v>
      </x:c>
      <x:c r="E38" s="96"/>
      <x:c r="F38" s="96"/>
      <x:c r="G38" s="96"/>
      <x:c r="H38" s="97"/>
    </x:row>
    <x:row r="39">
      <x:c r="A39" s="95"/>
      <x:c r="B39" s="96"/>
      <x:c r="C39" s="96"/>
      <x:c r="D39" s="96" t="str">
        <x:v>Security</x:v>
      </x:c>
      <x:c r="E39" s="96"/>
      <x:c r="F39" s="96"/>
      <x:c r="G39" s="96"/>
      <x:c r="H39" s="97"/>
    </x:row>
    <x:row r="40">
      <x:c r="A40" s="95"/>
      <x:c r="B40" s="96"/>
      <x:c r="C40" s="96"/>
      <x:c r="D40" s="96" t="str">
        <x:v>Recovery</x:v>
      </x:c>
      <x:c r="E40" s="96"/>
      <x:c r="F40" s="96"/>
      <x:c r="G40" s="96"/>
      <x:c r="H40" s="97"/>
    </x:row>
    <x:row r="41">
      <x:c r="A41" s="95"/>
      <x:c r="B41" s="96"/>
      <x:c r="C41" s="96"/>
      <x:c r="D41" s="96" t="str">
        <x:v>Reliability</x:v>
      </x:c>
      <x:c r="E41" s="96"/>
      <x:c r="F41" s="96"/>
      <x:c r="G41" s="96"/>
      <x:c r="H41" s="97"/>
    </x:row>
    <x:row r="42">
      <x:c r="A42" s="95"/>
      <x:c r="B42" s="96"/>
      <x:c r="C42" s="96"/>
      <x:c r="D42" s="96" t="str">
        <x:v>Calculation</x:v>
      </x:c>
      <x:c r="E42" s="96"/>
      <x:c r="F42" s="96"/>
      <x:c r="G42" s="96"/>
      <x:c r="H42" s="97"/>
    </x:row>
    <x:row r="43">
      <x:c r="A43" s="95"/>
      <x:c r="B43" s="96"/>
      <x:c r="C43" s="96"/>
      <x:c r="D43" s="96" t="str">
        <x:v>Business Rule</x:v>
      </x:c>
      <x:c r="E43" s="96"/>
      <x:c r="F43" s="96"/>
      <x:c r="G43" s="96"/>
      <x:c r="H43" s="97"/>
    </x:row>
    <x:row r="44">
      <x:c r="A44" s="95"/>
      <x:c r="B44" s="96"/>
      <x:c r="C44" s="96"/>
      <x:c r="D44" s="96" t="str">
        <x:v>Concurrency</x:v>
      </x:c>
      <x:c r="E44" s="96"/>
      <x:c r="F44" s="96"/>
      <x:c r="G44" s="96"/>
      <x:c r="H44" s="97"/>
    </x:row>
    <x:row r="45">
      <x:c r="A45" s="95"/>
      <x:c r="B45" s="96"/>
      <x:c r="C45" s="96"/>
      <x:c r="D45" s="96" t="str">
        <x:v>Regression</x:v>
      </x:c>
      <x:c r="E45" s="96"/>
      <x:c r="F45" s="96"/>
      <x:c r="G45" s="96"/>
      <x:c r="H45" s="97"/>
    </x:row>
    <x:row r="46">
      <x:c r="A46" s="95"/>
      <x:c r="B46" s="96"/>
      <x:c r="C46" s="96"/>
      <x:c r="D46" s="96" t="str">
        <x:v>Performance</x:v>
      </x:c>
      <x:c r="E46" s="96"/>
      <x:c r="F46" s="96"/>
      <x:c r="G46" s="96"/>
      <x:c r="H46" s="97"/>
    </x:row>
  </x:sheetData>
  <x:mergeCells>
    <x:mergeCell ref="A1:H1"/>
    <x:mergeCell ref="A2:H2"/>
    <x:mergeCell ref="A4:H4"/>
    <x:mergeCell ref="A11:H11"/>
    <x:mergeCell ref="A19:H19"/>
    <x:mergeCell ref="A27:H2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28" hidden="0" customWidth="1"/>
    <x:col min="4" max="4" width="12" hidden="0" customWidth="1"/>
    <x:col min="5" max="5" width="44" hidden="0" customWidth="1"/>
    <x:col min="6" max="6" width="34" hidden="0" customWidth="1"/>
    <x:col min="7" max="7" width="52" hidden="0" customWidth="1"/>
    <x:col min="8" max="8" width="14" hidden="0" customWidth="1"/>
  </x:cols>
  <x:sheetData>
    <x:row r="1" ht="34" customHeight="1">
      <x:c r="A1" s="164" t="str">
        <x:v>Planentrix — Web Admin Test Execution</x:v>
      </x:c>
      <x:c r="B1" s="164"/>
      <x:c r="C1" s="164"/>
      <x:c r="D1" s="164"/>
      <x:c r="E1" s="164"/>
      <x:c r="F1" s="164"/>
      <x:c r="G1" s="164"/>
      <x:c r="H1" s="164"/>
    </x:row>
    <x:row r="3">
      <x:c r="A3" s="174" t="str">
        <x:v>Test Cases ทั้งหมด</x:v>
      </x:c>
      <x:c r="B3" s="172" t="n">
        <x:f>COUNTA('Test Cases'!$A$7:$A$62)</x:f>
        <x:v>56</x:v>
      </x:c>
      <x:c r="C3" s="174" t="str">
        <x:v>Pass</x:v>
      </x:c>
      <x:c r="D3" s="172" t="n">
        <x:f>COUNTIF('Test Cases'!$N$7:$N$62,"Pass")</x:f>
        <x:v>1</x:v>
      </x:c>
      <x:c r="E3" s="174" t="str">
        <x:v>Fail</x:v>
      </x:c>
      <x:c r="F3" s="172" t="n">
        <x:f>COUNTIF('Test Cases'!$N$7:$N$62,"Fail")</x:f>
        <x:v>0</x:v>
      </x:c>
    </x:row>
    <x:row r="4">
      <x:c r="A4" s="174" t="str">
        <x:v>Blocked</x:v>
      </x:c>
      <x:c r="B4" s="172" t="n">
        <x:f>COUNTIF('Test Cases'!$N$7:$N$62,"Blocked")</x:f>
        <x:v>0</x:v>
      </x:c>
      <x:c r="C4" s="174" t="str">
        <x:v>Not Run</x:v>
      </x:c>
      <x:c r="D4" s="172" t="n">
        <x:f>COUNTIF('Test Cases'!$N$7:$N$62,"Not Run")</x:f>
        <x:v>55</x:v>
      </x:c>
      <x:c r="E4" s="174" t="str">
        <x:v>วันที่ทดสอบ</x:v>
      </x:c>
      <x:c r="F4" s="173" t="n">
        <x:v>46252</x:v>
      </x:c>
    </x:row>
    <x:row r="6" ht="32" customHeight="1">
      <x:c r="A6" s="179" t="str">
        <x:v>ผลรอบนี้เป็นการตรวจอัตโนมัติและ Browser smoke test — ช่องที่ยังไม่มีหลักฐานคงสถานะ Not Run</x:v>
      </x:c>
      <x:c r="B6" s="179"/>
      <x:c r="C6" s="179"/>
      <x:c r="D6" s="179"/>
      <x:c r="E6" s="179"/>
      <x:c r="F6" s="179"/>
      <x:c r="G6" s="179"/>
      <x:c r="H6" s="179"/>
    </x:row>
    <x:row r="8">
      <x:c r="A8" s="185" t="str">
        <x:v>Run ID</x:v>
      </x:c>
      <x:c r="B8" s="185" t="str">
        <x:v>ระดับ</x:v>
      </x:c>
      <x:c r="C8" s="185" t="str">
        <x:v>รายการตรวจ</x:v>
      </x:c>
      <x:c r="D8" s="185" t="str">
        <x:v>ผล</x:v>
      </x:c>
      <x:c r="E8" s="185" t="str">
        <x:v>หลักฐาน</x:v>
      </x:c>
      <x:c r="F8" s="185" t="str">
        <x:v>ขอบเขต</x:v>
      </x:c>
      <x:c r="G8" s="185" t="str">
        <x:v>ข้อจำกัด/หมายเหตุ</x:v>
      </x:c>
      <x:c r="H8" s="185" t="str">
        <x:v>วันที่</x:v>
      </x:c>
    </x:row>
    <x:row r="9" ht="46" customHeight="1">
      <x:c r="A9" s="242" t="str">
        <x:v>WA-RUN-001</x:v>
      </x:c>
      <x:c r="B9" s="242" t="str">
        <x:v>Code Quality</x:v>
      </x:c>
      <x:c r="C9" s="242" t="str">
        <x:v>npm.cmd run lint</x:v>
      </x:c>
      <x:c r="D9" s="247" t="str">
        <x:v>Pass</x:v>
      </x:c>
      <x:c r="E9" s="242" t="str">
        <x:v>Exit code 0; ไม่พบ ESLint error</x:v>
      </x:c>
      <x:c r="F9" s="242" t="str">
        <x:v>Web Admin ทั้งโปรเจกต์</x:v>
      </x:c>
      <x:c r="G9" s="242" t="str">
        <x:v>-</x:v>
      </x:c>
      <x:c r="H9" s="243" t="n">
        <x:v>46252</x:v>
      </x:c>
    </x:row>
    <x:row r="10" ht="46" customHeight="1">
      <x:c r="A10" s="242" t="str">
        <x:v>WA-RUN-002</x:v>
      </x:c>
      <x:c r="B10" s="242" t="str">
        <x:v>Build</x:v>
      </x:c>
      <x:c r="C10" s="242" t="str">
        <x:v>npm.cmd run build</x:v>
      </x:c>
      <x:c r="D10" s="247" t="str">
        <x:v>Pass</x:v>
      </x:c>
      <x:c r="E10" s="242" t="str">
        <x:v>Next.js build สำเร็จ; TypeScript สำเร็จ; สร้าง static pages 9/9</x:v>
      </x:c>
      <x:c r="F10" s="242" t="str">
        <x:v>Routes /Exam /LogIn /Main /ManageUsers /Subject /SubjectType</x:v>
      </x:c>
      <x:c r="G10" s="242" t="str">
        <x:v>มีคำเตือน workspace root จากหลาย lockfiles แต่ build สำเร็จ</x:v>
      </x:c>
      <x:c r="H10" s="243" t="n">
        <x:v>46252</x:v>
      </x:c>
    </x:row>
    <x:row r="11" ht="46" customHeight="1">
      <x:c r="A11" s="242" t="str">
        <x:v>WA-RUN-003</x:v>
      </x:c>
      <x:c r="B11" s="242" t="str">
        <x:v>Browser Smoke</x:v>
      </x:c>
      <x:c r="C11" s="242" t="str">
        <x:v>Required validation</x:v>
      </x:c>
      <x:c r="D11" s="247" t="str">
        <x:v>Pass</x:v>
      </x:c>
      <x:c r="E11" s="242" t="str">
        <x:v>แสดงข้อความ required ใต้ Username/Password</x:v>
      </x:c>
      <x:c r="F11" s="242" t="str">
        <x:v>WA-002</x:v>
      </x:c>
      <x:c r="G11" s="242" t="str">
        <x:v>-</x:v>
      </x:c>
      <x:c r="H11" s="243" t="n">
        <x:v>46252</x:v>
      </x:c>
    </x:row>
    <x:row r="12" ht="46" customHeight="1">
      <x:c r="A12" s="242" t="str">
        <x:v>WA-RUN-004</x:v>
      </x:c>
      <x:c r="B12" s="242" t="str">
        <x:v>Browser Smoke</x:v>
      </x:c>
      <x:c r="C12" s="242" t="str">
        <x:v>No-token protected route</x:v>
      </x:c>
      <x:c r="D12" s="247" t="str">
        <x:v>Pass</x:v>
      </x:c>
      <x:c r="E12" s="242" t="str">
        <x:v>/Main redirect กลับ /LogIn</x:v>
      </x:c>
      <x:c r="F12" s="242" t="str">
        <x:v>ส่วนหนึ่งของ WA-005</x:v>
      </x:c>
      <x:c r="G12" s="242" t="str">
        <x:v>ยังไม่ได้จำลอง expired token</x:v>
      </x:c>
      <x:c r="H12" s="243" t="n">
        <x:v>46252</x:v>
      </x:c>
    </x:row>
    <x:row r="13" ht="46" customHeight="1">
      <x:c r="A13" s="242" t="str">
        <x:v>WA-RUN-005</x:v>
      </x:c>
      <x:c r="B13" s="242" t="str">
        <x:v>Browser Console</x:v>
      </x:c>
      <x:c r="C13" s="242" t="str">
        <x:v>Error log</x:v>
      </x:c>
      <x:c r="D13" s="247" t="str">
        <x:v>Pass</x:v>
      </x:c>
      <x:c r="E13" s="242" t="str">
        <x:v>ไม่พบ console error ระหว่าง smoke test</x:v>
      </x:c>
      <x:c r="F13" s="242" t="str">
        <x:v>หน้าที่เปิดระหว่างรอบทดสอบ</x:v>
      </x:c>
      <x:c r="G13" s="242" t="str">
        <x:v>-</x:v>
      </x:c>
      <x:c r="H13" s="243" t="n">
        <x:v>46252</x:v>
      </x:c>
    </x:row>
    <x:row r="14" ht="46" customHeight="1">
      <x:c r="A14" s="242" t="str">
        <x:v>WA-RUN-006</x:v>
      </x:c>
      <x:c r="B14" s="242" t="str">
        <x:v>Backend API</x:v>
      </x:c>
      <x:c r="C14" s="242" t="str">
        <x:v>Invalid admin login</x:v>
      </x:c>
      <x:c r="D14" s="247" t="str">
        <x:v>Pass</x:v>
      </x:c>
      <x:c r="E14" s="242" t="str">
        <x:v>POST /admin/auth/login ตอบ 400 Invalid username or password</x:v>
      </x:c>
      <x:c r="F14" s="242" t="str">
        <x:v>Backend :4100</x:v>
      </x:c>
      <x:c r="G14" s="242" t="str">
        <x:v>ใช้ชื่อบัญชีที่ไม่มีอยู่ ไม่แก้ข้อมูลจริง</x:v>
      </x:c>
      <x:c r="H14" s="243" t="n">
        <x:v>46252</x:v>
      </x:c>
    </x:row>
    <x:row r="15" ht="46" customHeight="1">
      <x:c r="A15" s="242" t="str">
        <x:v>WA-RUN-007</x:v>
      </x:c>
      <x:c r="B15" s="242" t="str">
        <x:v>Backend API</x:v>
      </x:c>
      <x:c r="C15" s="242" t="str">
        <x:v>Protected endpoints without token</x:v>
      </x:c>
      <x:c r="D15" s="247" t="str">
        <x:v>Pass</x:v>
      </x:c>
      <x:c r="E15" s="242" t="str">
        <x:v>Admin profile และ users ตอบ 401 No token provided</x:v>
      </x:c>
      <x:c r="F15" s="242" t="str">
        <x:v>Backend :4100</x:v>
      </x:c>
      <x:c r="G15" s="242" t="str">
        <x:v>-</x:v>
      </x:c>
      <x:c r="H15" s="243" t="n">
        <x:v>46252</x:v>
      </x:c>
    </x:row>
    <x:row r="16" ht="46" customHeight="1">
      <x:c r="A16" s="242" t="str">
        <x:v>WA-RUN-008</x:v>
      </x:c>
      <x:c r="B16" s="242" t="str">
        <x:v>Browser + Backend</x:v>
      </x:c>
      <x:c r="C16" s="242" t="str">
        <x:v>Invalid admin login message</x:v>
      </x:c>
      <x:c r="D16" s="247" t="str">
        <x:v>Pass</x:v>
      </x:c>
      <x:c r="E16" s="242" t="str">
        <x:v>หน้า LogIn แสดง Invalid username or password และคงอยู่หน้าเดิม</x:v>
      </x:c>
      <x:c r="F16" s="242" t="str">
        <x:v>Admin LogIn</x:v>
      </x:c>
      <x:c r="G16" s="242" t="str">
        <x:v>ไม่พบ console error</x:v>
      </x:c>
      <x:c r="H16" s="243" t="n">
        <x:v>46252</x:v>
      </x:c>
    </x:row>
    <x:row r="17" ht="46" customHeight="1">
      <x:c r="A17" s="242" t="str">
        <x:v>WA-RUN-009</x:v>
      </x:c>
      <x:c r="B17" s="242" t="str">
        <x:v>Browser Auth Guard</x:v>
      </x:c>
      <x:c r="C17" s="242" t="str">
        <x:v>Open /Main without session</x:v>
      </x:c>
      <x:c r="D17" s="247" t="str">
        <x:v>Pass</x:v>
      </x:c>
      <x:c r="E17" s="242" t="str">
        <x:v>Redirect /Main → /LogIn</x:v>
      </x:c>
      <x:c r="F17" s="242" t="str">
        <x:v>ส่วนหนึ่งของ WA-005</x:v>
      </x:c>
      <x:c r="G17" s="242" t="str">
        <x:v>ยังไม่ได้จำลอง expired token</x:v>
      </x:c>
      <x:c r="H17" s="243" t="n">
        <x:v>46252</x:v>
      </x:c>
    </x:row>
    <x:row r="18" ht="46" customHeight="1">
      <x:c r="A18" s="242" t="str">
        <x:v>WA-RUN-010</x:v>
      </x:c>
      <x:c r="B18" s="242" t="str">
        <x:v>Backend Lint</x:v>
      </x:c>
      <x:c r="C18" s="242" t="str">
        <x:v>npm.cmd run lint</x:v>
      </x:c>
      <x:c r="D18" s="251" t="str">
        <x:v>Fail</x:v>
      </x:c>
      <x:c r="E18" s="242" t="str">
        <x:v>53 errors และ 6 warnings</x:v>
      </x:c>
      <x:c r="F18" s="242" t="str">
        <x:v>Backend source</x:v>
      </x:c>
      <x:c r="G18" s="242" t="str">
        <x:v>ส่วนใหญ่เป็น no-explicit-any; ยังมี config ที่คาดหวัง Next pages</x:v>
      </x:c>
      <x:c r="H18" s="243" t="n">
        <x:v>46252</x:v>
      </x:c>
    </x:row>
    <x:row r="20">
      <x:c r="A20" s="254" t="str">
        <x:v>ข้อจำกัดและสิ่งที่ควรทดสอบต่อ</x:v>
      </x:c>
      <x:c r="B20" s="254"/>
      <x:c r="C20" s="254"/>
      <x:c r="D20" s="254"/>
      <x:c r="E20" s="254"/>
      <x:c r="F20" s="254"/>
      <x:c r="G20" s="254"/>
      <x:c r="H20" s="254"/>
    </x:row>
    <x:row r="21" ht="34" customHeight="1">
      <x:c r="A21" s="259" t="str">
        <x:v>1. Admin API และหน้า LogIn เชื่อมต่อกันได้ แต่ Backend lint ไม่ผ่าน</x:v>
      </x:c>
      <x:c r="B21" s="259"/>
      <x:c r="C21" s="259"/>
      <x:c r="D21" s="259"/>
      <x:c r="E21" s="259"/>
      <x:c r="F21" s="259"/>
      <x:c r="G21" s="259"/>
      <x:c r="H21" s="259"/>
    </x:row>
    <x:row r="22" ht="34" customHeight="1">
      <x:c r="A22" s="259" t="str">
        <x:v>2. ยังไม่เปลี่ยน Test Case เป็น Fail เพราะข้อผิดพลาด lint เป็น Code Quality check ไม่ใช่ Expected Result ของ WA-001–WA-056</x:v>
      </x:c>
      <x:c r="B22" s="259"/>
      <x:c r="C22" s="259"/>
      <x:c r="D22" s="259"/>
      <x:c r="E22" s="259"/>
      <x:c r="F22" s="259"/>
      <x:c r="G22" s="259"/>
      <x:c r="H22" s="259"/>
    </x:row>
  </x:sheetData>
  <x:mergeCells>
    <x:mergeCell ref="A1:H1"/>
    <x:mergeCell ref="A6:H6"/>
    <x:mergeCell ref="A20:H20"/>
    <x:mergeCell ref="A21:H21"/>
    <x:mergeCell ref="A22:H22"/>
  </x:mergeCells>
  <x:pageMargins left="0.7" right="0.7" top="0.75" bottom="0.75" header="0.3" footer="0.3"/>
</x:worksheet>
</file>